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rtfolio\"/>
    </mc:Choice>
  </mc:AlternateContent>
  <xr:revisionPtr revIDLastSave="0" documentId="13_ncr:1_{745B1232-1E7B-45E1-86C9-70AB6BF1BAD6}" xr6:coauthVersionLast="47" xr6:coauthVersionMax="47" xr10:uidLastSave="{00000000-0000-0000-0000-000000000000}"/>
  <bookViews>
    <workbookView xWindow="-120" yWindow="-120" windowWidth="20730" windowHeight="11160" activeTab="2" xr2:uid="{845D57C1-6590-40D0-A943-C52C09C23C46}"/>
  </bookViews>
  <sheets>
    <sheet name="Cover" sheetId="6" r:id="rId1"/>
    <sheet name="Dashboard" sheetId="8" r:id="rId2"/>
    <sheet name="Assumptions" sheetId="2" r:id="rId3"/>
    <sheet name="Model" sheetId="3" r:id="rId4"/>
  </sheets>
  <definedNames>
    <definedName name="_xlnm.Print_Area" localSheetId="2">Assumptions!$A$2:$E$51</definedName>
    <definedName name="_xlnm.Print_Area" localSheetId="1">Dashboard!$B$2:$I$49</definedName>
    <definedName name="_xlnm.Print_Area" localSheetId="3">Model!$B$205:$H$227,Model!$B$229:$H$274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8" l="1"/>
  <c r="H13" i="8"/>
  <c r="G13" i="8"/>
  <c r="F13" i="8"/>
  <c r="E13" i="8"/>
  <c r="D13" i="8"/>
  <c r="C13" i="8"/>
  <c r="B13" i="8"/>
  <c r="B2" i="8"/>
  <c r="H136" i="3"/>
  <c r="H126" i="3"/>
  <c r="H137" i="3"/>
  <c r="H144" i="3"/>
  <c r="H143" i="3"/>
  <c r="H135" i="3"/>
  <c r="H77" i="3"/>
  <c r="H199" i="3"/>
  <c r="E208" i="3"/>
  <c r="E209" i="3"/>
  <c r="E210" i="3"/>
  <c r="H2" i="3"/>
  <c r="B4" i="8" s="1"/>
  <c r="H184" i="3"/>
  <c r="C13" i="6"/>
  <c r="G120" i="3"/>
  <c r="G121" i="3"/>
  <c r="H121" i="3" s="1"/>
  <c r="C163" i="3" a="1"/>
  <c r="H116" i="3"/>
  <c r="H198" i="3" s="1"/>
  <c r="C162" i="3" a="1"/>
  <c r="C161" i="3" a="1"/>
  <c r="H120" i="3"/>
  <c r="G119" i="3"/>
  <c r="H115" i="3"/>
  <c r="G122" i="3"/>
  <c r="H103" i="3"/>
  <c r="H102" i="3"/>
  <c r="H91" i="3"/>
  <c r="H87" i="3"/>
  <c r="H86" i="3"/>
  <c r="H97" i="3"/>
  <c r="H96" i="3"/>
  <c r="H90" i="3"/>
  <c r="C289" i="3" l="1"/>
  <c r="C279" i="3"/>
  <c r="C280" i="3"/>
  <c r="C281" i="3"/>
  <c r="C282" i="3"/>
  <c r="C283" i="3"/>
  <c r="H122" i="3"/>
  <c r="H149" i="3"/>
  <c r="H28" i="3" s="1"/>
  <c r="H200" i="3"/>
  <c r="M11" i="8" s="1"/>
  <c r="B217" i="3"/>
  <c r="B216" i="3"/>
  <c r="B221" i="3"/>
  <c r="B222" i="3"/>
  <c r="B223" i="3"/>
  <c r="B224" i="3"/>
  <c r="B225" i="3"/>
  <c r="B220" i="3"/>
  <c r="B218" i="3"/>
  <c r="B219" i="3"/>
  <c r="H215" i="3"/>
  <c r="D216" i="3" s="1"/>
  <c r="F216" i="3" s="1"/>
  <c r="H239" i="3" s="1"/>
  <c r="H190" i="3"/>
  <c r="M10" i="8" s="1"/>
  <c r="E212" i="3"/>
  <c r="H240" i="3" s="1"/>
  <c r="E166" i="3"/>
  <c r="F166" i="3"/>
  <c r="H166" i="3"/>
  <c r="J166" i="3"/>
  <c r="C166" i="3"/>
  <c r="D166" i="3"/>
  <c r="G166" i="3"/>
  <c r="I166" i="3"/>
  <c r="K166" i="3"/>
  <c r="C165" i="3" a="1"/>
  <c r="L165" i="3" s="1"/>
  <c r="H119" i="3"/>
  <c r="H123" i="3" s="1"/>
  <c r="H104" i="3"/>
  <c r="H105" i="3" s="1"/>
  <c r="H9" i="3" s="1"/>
  <c r="H88" i="3"/>
  <c r="H98" i="3"/>
  <c r="H8" i="3" s="1"/>
  <c r="D289" i="3" l="1"/>
  <c r="D279" i="3"/>
  <c r="D280" i="3"/>
  <c r="D281" i="3"/>
  <c r="D282" i="3"/>
  <c r="D283" i="3"/>
  <c r="H11" i="3"/>
  <c r="H139" i="3" s="1"/>
  <c r="H247" i="3"/>
  <c r="H92" i="3"/>
  <c r="H107" i="3" s="1"/>
  <c r="H248" i="3"/>
  <c r="H48" i="3"/>
  <c r="H72" i="3"/>
  <c r="L166" i="3"/>
  <c r="H7" i="3"/>
  <c r="H10" i="3" s="1"/>
  <c r="H232" i="3" s="1"/>
  <c r="H187" i="3"/>
  <c r="E217" i="3"/>
  <c r="E218" i="3"/>
  <c r="E219" i="3"/>
  <c r="E216" i="3"/>
  <c r="G216" i="3" s="1"/>
  <c r="E223" i="3"/>
  <c r="E220" i="3"/>
  <c r="E221" i="3"/>
  <c r="E225" i="3"/>
  <c r="E224" i="3"/>
  <c r="E222" i="3"/>
  <c r="C168" i="3"/>
  <c r="E168" i="3"/>
  <c r="E170" i="3" s="1"/>
  <c r="K168" i="3"/>
  <c r="K170" i="3" s="1"/>
  <c r="J168" i="3"/>
  <c r="J170" i="3" s="1"/>
  <c r="G168" i="3"/>
  <c r="G170" i="3" s="1"/>
  <c r="H168" i="3"/>
  <c r="H170" i="3" s="1"/>
  <c r="H171" i="3" s="1"/>
  <c r="D168" i="3"/>
  <c r="D170" i="3" s="1"/>
  <c r="I168" i="3"/>
  <c r="I170" i="3" s="1"/>
  <c r="F168" i="3"/>
  <c r="F170" i="3" s="1"/>
  <c r="E289" i="3" l="1"/>
  <c r="E280" i="3"/>
  <c r="E281" i="3"/>
  <c r="E283" i="3"/>
  <c r="E279" i="3"/>
  <c r="E282" i="3"/>
  <c r="H150" i="3"/>
  <c r="H38" i="3" s="1"/>
  <c r="H148" i="3"/>
  <c r="H27" i="3" s="1"/>
  <c r="H271" i="3"/>
  <c r="H138" i="3"/>
  <c r="H147" i="3" s="1"/>
  <c r="H26" i="3" s="1"/>
  <c r="B8" i="8"/>
  <c r="H127" i="3"/>
  <c r="M4" i="8"/>
  <c r="L168" i="3"/>
  <c r="C170" i="3"/>
  <c r="H216" i="3"/>
  <c r="D217" i="3" s="1"/>
  <c r="H191" i="3"/>
  <c r="H192" i="3" s="1"/>
  <c r="H12" i="3"/>
  <c r="H233" i="3" s="1"/>
  <c r="H250" i="3" s="1"/>
  <c r="K171" i="3"/>
  <c r="J171" i="3"/>
  <c r="E171" i="3"/>
  <c r="G171" i="3"/>
  <c r="I171" i="3"/>
  <c r="F171" i="3"/>
  <c r="D171" i="3"/>
  <c r="H65" i="3" l="1"/>
  <c r="H67" i="3" s="1"/>
  <c r="H245" i="3"/>
  <c r="H71" i="3"/>
  <c r="H73" i="3" s="1"/>
  <c r="H237" i="3"/>
  <c r="H151" i="3"/>
  <c r="H13" i="3"/>
  <c r="H14" i="3" s="1"/>
  <c r="H234" i="3" s="1"/>
  <c r="C171" i="3"/>
  <c r="L170" i="3"/>
  <c r="H15" i="3"/>
  <c r="F217" i="3"/>
  <c r="G217" i="3" s="1"/>
  <c r="H251" i="3" l="1"/>
  <c r="H272" i="3"/>
  <c r="H260" i="3"/>
  <c r="H39" i="3"/>
  <c r="H152" i="3"/>
  <c r="H61" i="3" s="1"/>
  <c r="H264" i="3"/>
  <c r="D9" i="8"/>
  <c r="D8" i="8"/>
  <c r="M5" i="8"/>
  <c r="L171" i="3"/>
  <c r="H31" i="3" s="1"/>
  <c r="H33" i="3" s="1"/>
  <c r="H60" i="3"/>
  <c r="H16" i="3"/>
  <c r="H194" i="3"/>
  <c r="H217" i="3"/>
  <c r="D218" i="3" s="1"/>
  <c r="F218" i="3" s="1"/>
  <c r="G218" i="3" s="1"/>
  <c r="H218" i="3" s="1"/>
  <c r="D219" i="3" s="1"/>
  <c r="F219" i="3" s="1"/>
  <c r="G219" i="3" s="1"/>
  <c r="H219" i="3" s="1"/>
  <c r="D220" i="3" s="1"/>
  <c r="F220" i="3" s="1"/>
  <c r="G220" i="3" s="1"/>
  <c r="H220" i="3" s="1"/>
  <c r="D221" i="3" s="1"/>
  <c r="F221" i="3" s="1"/>
  <c r="G221" i="3" s="1"/>
  <c r="H221" i="3" s="1"/>
  <c r="D222" i="3" s="1"/>
  <c r="F222" i="3" s="1"/>
  <c r="G222" i="3" s="1"/>
  <c r="H222" i="3" s="1"/>
  <c r="D223" i="3" s="1"/>
  <c r="M6" i="8" l="1"/>
  <c r="H235" i="3"/>
  <c r="H265" i="3" s="1"/>
  <c r="H195" i="3"/>
  <c r="H43" i="3" s="1"/>
  <c r="H44" i="3" s="1"/>
  <c r="H40" i="3"/>
  <c r="F223" i="3"/>
  <c r="G223" i="3" s="1"/>
  <c r="H223" i="3" s="1"/>
  <c r="D224" i="3" s="1"/>
  <c r="H41" i="3" l="1"/>
  <c r="M14" i="8"/>
  <c r="F224" i="3"/>
  <c r="G224" i="3" s="1"/>
  <c r="H224" i="3" s="1"/>
  <c r="D225" i="3" s="1"/>
  <c r="H243" i="3" l="1"/>
  <c r="H46" i="3"/>
  <c r="F225" i="3"/>
  <c r="G225" i="3" s="1"/>
  <c r="H225" i="3" s="1"/>
  <c r="M7" i="8" l="1"/>
  <c r="F8" i="8"/>
  <c r="H8" i="8"/>
  <c r="F9" i="8"/>
  <c r="M15" i="8"/>
  <c r="H17" i="3"/>
  <c r="H18" i="3"/>
  <c r="H19" i="3"/>
  <c r="H20" i="3"/>
  <c r="H25" i="3"/>
  <c r="H29" i="3"/>
  <c r="H35" i="3"/>
  <c r="H49" i="3"/>
  <c r="H50" i="3"/>
  <c r="H52" i="3"/>
  <c r="H54" i="3"/>
  <c r="H59" i="3"/>
  <c r="H62" i="3"/>
  <c r="H76" i="3"/>
  <c r="H78" i="3"/>
  <c r="H182" i="3"/>
  <c r="H183" i="3"/>
  <c r="H185" i="3"/>
  <c r="H188" i="3"/>
  <c r="H236" i="3"/>
  <c r="H238" i="3"/>
  <c r="H241" i="3"/>
  <c r="H242" i="3"/>
  <c r="H244" i="3"/>
  <c r="H246" i="3"/>
  <c r="H252" i="3"/>
  <c r="H253" i="3"/>
  <c r="H254" i="3"/>
  <c r="H256" i="3"/>
  <c r="H257" i="3"/>
  <c r="H259" i="3"/>
  <c r="H261" i="3"/>
  <c r="H263" i="3"/>
  <c r="H267" i="3"/>
  <c r="H268" i="3"/>
  <c r="H269" i="3"/>
  <c r="H273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9" i="3"/>
  <c r="G289" i="3"/>
  <c r="H28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<sst xmlns="http://schemas.openxmlformats.org/spreadsheetml/2006/main" count="371" uniqueCount="292">
  <si>
    <t>Straight Line</t>
  </si>
  <si>
    <t>Accounts Receivable</t>
  </si>
  <si>
    <t>Value</t>
  </si>
  <si>
    <t>Plant Capacity</t>
  </si>
  <si>
    <t>5 MW</t>
  </si>
  <si>
    <t>Operational Days</t>
  </si>
  <si>
    <t>Average Capacity Factor</t>
  </si>
  <si>
    <t>Annual Energy Generated</t>
  </si>
  <si>
    <t>Average Tariff</t>
  </si>
  <si>
    <t>Customer Connections</t>
  </si>
  <si>
    <t>New Connection Fee</t>
  </si>
  <si>
    <t>Debt Financing</t>
  </si>
  <si>
    <t>Equity Financing</t>
  </si>
  <si>
    <t>Loan Interest Rate</t>
  </si>
  <si>
    <t>Loan Tenor</t>
  </si>
  <si>
    <t>Depreciation Method</t>
  </si>
  <si>
    <t>kWh</t>
  </si>
  <si>
    <t>Description</t>
  </si>
  <si>
    <t>Electricity Sales</t>
  </si>
  <si>
    <t>Sale of energy to customers based on kWh consumed</t>
  </si>
  <si>
    <t>Fixed Service Charges</t>
  </si>
  <si>
    <t>Monthly fixed fee charged to connected customers</t>
  </si>
  <si>
    <t>Connection Fees</t>
  </si>
  <si>
    <t>One-time fees from new customer connections</t>
  </si>
  <si>
    <t>Maintenance Services</t>
  </si>
  <si>
    <t>Optional maintenance contracts for commercial customers</t>
  </si>
  <si>
    <t>Inverters</t>
  </si>
  <si>
    <t>Transformers</t>
  </si>
  <si>
    <t>Distribution Network</t>
  </si>
  <si>
    <t>Vehicles</t>
  </si>
  <si>
    <t>Revenue Schedule</t>
  </si>
  <si>
    <t>Electricity sales</t>
  </si>
  <si>
    <t>Connection fess</t>
  </si>
  <si>
    <t>Annual energy generated</t>
  </si>
  <si>
    <t>Annual energy distributed</t>
  </si>
  <si>
    <t>Annual revenue</t>
  </si>
  <si>
    <t>₦</t>
  </si>
  <si>
    <t>Distribution losses</t>
  </si>
  <si>
    <t>Billing efficiency</t>
  </si>
  <si>
    <t>Solar Panel Efficiency</t>
  </si>
  <si>
    <t>Capacity Factor</t>
  </si>
  <si>
    <t>This accounts for energy that does not get to the customers</t>
  </si>
  <si>
    <t>Delivered energy is billed due to meter errors or other technical issues</t>
  </si>
  <si>
    <t>Billing Efficiency</t>
  </si>
  <si>
    <t>Fixed service charges</t>
  </si>
  <si>
    <t>Monthly service fee</t>
  </si>
  <si>
    <t>₦/per customer</t>
  </si>
  <si>
    <t>Number of customer connections</t>
  </si>
  <si>
    <t>Plant insurance</t>
  </si>
  <si>
    <t>PPE Schedule</t>
  </si>
  <si>
    <t>Operational drivers</t>
  </si>
  <si>
    <t>Revenue drivers</t>
  </si>
  <si>
    <t>Financing drivers</t>
  </si>
  <si>
    <t>Insurance rate</t>
  </si>
  <si>
    <t>Average Tariff (₦)</t>
  </si>
  <si>
    <t>Monthly Service Fee (₦)</t>
  </si>
  <si>
    <t>New Connection Fee (₦)</t>
  </si>
  <si>
    <t>Project Construction Cost (₦)</t>
  </si>
  <si>
    <t>mWh</t>
  </si>
  <si>
    <t>Total connection fees</t>
  </si>
  <si>
    <t>Monthly fixed charges</t>
  </si>
  <si>
    <t>Annual fixed charges</t>
  </si>
  <si>
    <r>
      <t>Note:</t>
    </r>
    <r>
      <rPr>
        <sz val="12"/>
        <color theme="1"/>
        <rFont val="Aptos Narrow"/>
        <family val="2"/>
        <scheme val="minor"/>
      </rPr>
      <t xml:space="preserve"> The annual energy generation is calculated as:</t>
    </r>
  </si>
  <si>
    <r>
      <t xml:space="preserve">5 MW × 8,760 hours/year × 22% capacity factor = </t>
    </r>
    <r>
      <rPr>
        <b/>
        <sz val="12"/>
        <color theme="1"/>
        <rFont val="Aptos Narrow"/>
        <family val="2"/>
        <scheme val="minor"/>
      </rPr>
      <t>9,636 MWh</t>
    </r>
    <r>
      <rPr>
        <sz val="12"/>
        <color theme="1"/>
        <rFont val="Aptos Narrow"/>
        <family val="2"/>
        <scheme val="minor"/>
      </rPr>
      <t xml:space="preserve"> (9,636,000 kWh).</t>
    </r>
  </si>
  <si>
    <t>(₦/kWh)</t>
  </si>
  <si>
    <t>Plant size</t>
  </si>
  <si>
    <t>Carrying amount</t>
  </si>
  <si>
    <t>Plant value</t>
  </si>
  <si>
    <t>Each Technician Salary (₦)</t>
  </si>
  <si>
    <t>Each Operator Salary (₦)</t>
  </si>
  <si>
    <t>Installed Capacity</t>
  </si>
  <si>
    <t>Solar Panel Rating</t>
  </si>
  <si>
    <t>550 W</t>
  </si>
  <si>
    <t>Number of Panels</t>
  </si>
  <si>
    <t>~9,091</t>
  </si>
  <si>
    <t>Inverter Efficiency</t>
  </si>
  <si>
    <t>Distribution Losses</t>
  </si>
  <si>
    <t>9,636,000 kWh</t>
  </si>
  <si>
    <t>Technical Assumptions from Engineering team</t>
  </si>
  <si>
    <t>% of Total CAPEX</t>
  </si>
  <si>
    <t>Solar PV Panels</t>
  </si>
  <si>
    <t>Mounting Structures</t>
  </si>
  <si>
    <t>Office Equipment &amp; IT</t>
  </si>
  <si>
    <t>Engineering, Procurement &amp; Construction (EPC)</t>
  </si>
  <si>
    <t>Capitalized into project assets*</t>
  </si>
  <si>
    <t>Plant yard and Civil Works</t>
  </si>
  <si>
    <t>EPC allocation</t>
  </si>
  <si>
    <t>Original asset cost</t>
  </si>
  <si>
    <t>Capitalised cost</t>
  </si>
  <si>
    <t>Useful Years</t>
  </si>
  <si>
    <t>Solar Plant Asset</t>
  </si>
  <si>
    <t>% of the maximum possible energy a plant actually produces over a year</t>
  </si>
  <si>
    <t>% of sunlight converted into electricity by the panel itself</t>
  </si>
  <si>
    <t>Battery ESS</t>
  </si>
  <si>
    <t>Interest during construction</t>
  </si>
  <si>
    <t>Useful life</t>
  </si>
  <si>
    <t>EPC apportionment</t>
  </si>
  <si>
    <t>Energy losses</t>
  </si>
  <si>
    <t>Cash</t>
  </si>
  <si>
    <t>Inventory</t>
  </si>
  <si>
    <t>Prepaid Insurance</t>
  </si>
  <si>
    <t>My Solar Light Company</t>
  </si>
  <si>
    <t>3 statement financial modelling</t>
  </si>
  <si>
    <t>Inventory Days</t>
  </si>
  <si>
    <t>Payable Days</t>
  </si>
  <si>
    <t>Annual Insurance Premium</t>
  </si>
  <si>
    <t>Depreciation</t>
  </si>
  <si>
    <t>EBIT</t>
  </si>
  <si>
    <t>Net Income</t>
  </si>
  <si>
    <t>Accounts Payable</t>
  </si>
  <si>
    <t>Accrued Expenses</t>
  </si>
  <si>
    <t>One month operating expenses</t>
  </si>
  <si>
    <t>Interest Rate</t>
  </si>
  <si>
    <t>Repayment</t>
  </si>
  <si>
    <t>Revenue</t>
  </si>
  <si>
    <t>Gross Profit</t>
  </si>
  <si>
    <t>Operating expenses</t>
  </si>
  <si>
    <t>EBITDA</t>
  </si>
  <si>
    <t>D&amp;A</t>
  </si>
  <si>
    <t>Interest expenses</t>
  </si>
  <si>
    <t>EBT</t>
  </si>
  <si>
    <t>Taxes</t>
  </si>
  <si>
    <t>Cost of sales</t>
  </si>
  <si>
    <t>Technician salaries</t>
  </si>
  <si>
    <t>Operator salaries</t>
  </si>
  <si>
    <t>Assumptions and drivers</t>
  </si>
  <si>
    <t>Cost of production</t>
  </si>
  <si>
    <t>Operating and maintenance of solar plant</t>
  </si>
  <si>
    <t>Amount Outstanding - Beginning</t>
  </si>
  <si>
    <t>Change in Cash</t>
  </si>
  <si>
    <t>Amount Outstanding - Ending</t>
  </si>
  <si>
    <t>Annual Interest Income</t>
  </si>
  <si>
    <t>Operating Cash Flow</t>
  </si>
  <si>
    <t>Investing Cash Flow</t>
  </si>
  <si>
    <t>Interest earned on cash balance</t>
  </si>
  <si>
    <t>Cash Flow Statement</t>
  </si>
  <si>
    <t>Operating Activities</t>
  </si>
  <si>
    <t>Depreciation &amp; Amortization</t>
  </si>
  <si>
    <t>Changes in working capital</t>
  </si>
  <si>
    <t>Investing Activities</t>
  </si>
  <si>
    <t>CAPEX</t>
  </si>
  <si>
    <t>Other</t>
  </si>
  <si>
    <t>Financing Activities</t>
  </si>
  <si>
    <t>Term Debt Issuance / (Repayment)</t>
  </si>
  <si>
    <t>Common Shares Issuance/ (Buy-Back)</t>
  </si>
  <si>
    <t>Financing Cash Flow</t>
  </si>
  <si>
    <t>Change in the Cash Position</t>
  </si>
  <si>
    <t>Beginning Cash</t>
  </si>
  <si>
    <t>Ending Cash</t>
  </si>
  <si>
    <t>Balance Sheet</t>
  </si>
  <si>
    <t>ASSETS</t>
  </si>
  <si>
    <t>Prepaid Expenses</t>
  </si>
  <si>
    <t>Total Current Assets</t>
  </si>
  <si>
    <t>Net PP&amp;E</t>
  </si>
  <si>
    <t>Total Long Term Assets</t>
  </si>
  <si>
    <t>Total Assets</t>
  </si>
  <si>
    <t>LIABILITIES AND EQUITY</t>
  </si>
  <si>
    <t>Total Current Liabilities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</si>
  <si>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</si>
  <si>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</si>
  <si>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</si>
  <si>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</si>
  <si>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</si>
  <si>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</si>
  <si>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Income statement</t>
  </si>
  <si>
    <t>Date</t>
  </si>
  <si>
    <t>Interest</t>
  </si>
  <si>
    <t>Ist year repayment</t>
  </si>
  <si>
    <t>Loan drawdown</t>
  </si>
  <si>
    <t>Loan amount</t>
  </si>
  <si>
    <t>Annual interest rate</t>
  </si>
  <si>
    <t>Tenor</t>
  </si>
  <si>
    <t>Annual payments</t>
  </si>
  <si>
    <t>2nd year repayment</t>
  </si>
  <si>
    <t>4th year repayment</t>
  </si>
  <si>
    <t>5th year repayment</t>
  </si>
  <si>
    <t>6th year repayment</t>
  </si>
  <si>
    <t>7th year repayment</t>
  </si>
  <si>
    <t>8th year repayment</t>
  </si>
  <si>
    <t>9th year repayment</t>
  </si>
  <si>
    <t>10th year repayment</t>
  </si>
  <si>
    <t>3rd year repayment</t>
  </si>
  <si>
    <t>Balance at start</t>
  </si>
  <si>
    <t>Scheduled payments</t>
  </si>
  <si>
    <t>Interest income</t>
  </si>
  <si>
    <t>Interest expense</t>
  </si>
  <si>
    <t>Debt Balance</t>
  </si>
  <si>
    <t>Opening balance</t>
  </si>
  <si>
    <t>Debt repayment</t>
  </si>
  <si>
    <t>Closing balance</t>
  </si>
  <si>
    <t>Current portion</t>
  </si>
  <si>
    <t>Non-current portion</t>
  </si>
  <si>
    <t>Current Loan</t>
  </si>
  <si>
    <t>Non current loan</t>
  </si>
  <si>
    <t>Accrued expenses</t>
  </si>
  <si>
    <t>Loan amortisation schedule</t>
  </si>
  <si>
    <t>Working capital schedule</t>
  </si>
  <si>
    <t>Equity contribution</t>
  </si>
  <si>
    <t>Project cost</t>
  </si>
  <si>
    <t>Equity financing rate</t>
  </si>
  <si>
    <t>Equity contributed</t>
  </si>
  <si>
    <t>Total</t>
  </si>
  <si>
    <t>Financing schedule</t>
  </si>
  <si>
    <t>Debt and interest component</t>
  </si>
  <si>
    <t>Equity component</t>
  </si>
  <si>
    <t>Interest paid for loan facility</t>
  </si>
  <si>
    <t>Principal repayment</t>
  </si>
  <si>
    <t>Balance at end</t>
  </si>
  <si>
    <t>Equal payments</t>
  </si>
  <si>
    <t>Days per Year</t>
  </si>
  <si>
    <t>Net Revenue</t>
  </si>
  <si>
    <t>Cost of Sales</t>
  </si>
  <si>
    <t>Days In</t>
  </si>
  <si>
    <t>Inventories</t>
  </si>
  <si>
    <t>Account Balances</t>
  </si>
  <si>
    <t>Net Working Capital</t>
  </si>
  <si>
    <t>Operating expenses rate</t>
  </si>
  <si>
    <t>Operating and maintenace costs for plant</t>
  </si>
  <si>
    <t>Revenue total</t>
  </si>
  <si>
    <t>Check</t>
  </si>
  <si>
    <t>Net interest expense</t>
  </si>
  <si>
    <t>SCHEDULES</t>
  </si>
  <si>
    <t>FINANCIAL STATEMENTS</t>
  </si>
  <si>
    <t>Costs Schedule</t>
  </si>
  <si>
    <t>Model ratios</t>
  </si>
  <si>
    <t>Debt Service Coverage Ratio (DSCR) = Net operating income (NOI) ÷ Annual Debt Service</t>
  </si>
  <si>
    <t>Debt Service Coverage Ratio (DSCR) = Cash Flow Available for Debt Service (CFADS) ÷ Annual Debt Service (preferred formula)</t>
  </si>
  <si>
    <t>Corporate Tax Rate (cash paid)</t>
  </si>
  <si>
    <t>Profitability</t>
  </si>
  <si>
    <t>Gross margin</t>
  </si>
  <si>
    <t>Net margin</t>
  </si>
  <si>
    <t>EBITDA margin</t>
  </si>
  <si>
    <t>ROA</t>
  </si>
  <si>
    <t>ROE</t>
  </si>
  <si>
    <t xml:space="preserve">Liquidity </t>
  </si>
  <si>
    <t>Current ratio</t>
  </si>
  <si>
    <t>Cash ratio</t>
  </si>
  <si>
    <t>Leverage</t>
  </si>
  <si>
    <t>Debt to equity</t>
  </si>
  <si>
    <t>Debt to EBITDA</t>
  </si>
  <si>
    <t>Coverage</t>
  </si>
  <si>
    <t>Interest coverage</t>
  </si>
  <si>
    <t>Cash flow</t>
  </si>
  <si>
    <t>Operating cash flow margin</t>
  </si>
  <si>
    <t>Free cash flow</t>
  </si>
  <si>
    <t>Cash conversion ratio</t>
  </si>
  <si>
    <t>Operational ratios</t>
  </si>
  <si>
    <t>Generation Cost per kWh</t>
  </si>
  <si>
    <t>EBITDA per kWh</t>
  </si>
  <si>
    <t>Net Profit per kWh</t>
  </si>
  <si>
    <t>Chart data (linked — do not edit)</t>
  </si>
  <si>
    <t>P&amp;L Bridge</t>
  </si>
  <si>
    <t>FINANCIAL PERFORMANCE</t>
  </si>
  <si>
    <t>DSCR</t>
  </si>
  <si>
    <t>Total FY revenue</t>
  </si>
  <si>
    <t>Debt service coverage</t>
  </si>
  <si>
    <t>Capital Structure</t>
  </si>
  <si>
    <t>Debt</t>
  </si>
  <si>
    <t>PROJECT &amp; CAPITAL SNAPSHOT</t>
  </si>
  <si>
    <t>Equity</t>
  </si>
  <si>
    <t>Annual Energy Gen.</t>
  </si>
  <si>
    <t>Total CAPEX</t>
  </si>
  <si>
    <t>Debt : Equity</t>
  </si>
  <si>
    <t>Avg. Tariff</t>
  </si>
  <si>
    <t>Credit Metrics</t>
  </si>
  <si>
    <t>Debt / EBITDA</t>
  </si>
  <si>
    <t>VISUAL SUMMARY</t>
  </si>
  <si>
    <t>Debt-to-Capital</t>
  </si>
  <si>
    <t>Debt to capital</t>
  </si>
  <si>
    <t>Gross profit</t>
  </si>
  <si>
    <t>Net income</t>
  </si>
  <si>
    <t>Debt service</t>
  </si>
  <si>
    <t>Total assets</t>
  </si>
  <si>
    <t>Current asset</t>
  </si>
  <si>
    <t>Current liability</t>
  </si>
  <si>
    <t>Cash position</t>
  </si>
  <si>
    <t>Tariff Change</t>
  </si>
  <si>
    <t>Net Profit</t>
  </si>
  <si>
    <t>SENSITIVITY ANALYSIS</t>
  </si>
  <si>
    <t>Operating cash flow</t>
  </si>
  <si>
    <t>Generation costs</t>
  </si>
  <si>
    <t>Energy generated</t>
  </si>
  <si>
    <t>units</t>
  </si>
  <si>
    <t>RATIOS</t>
  </si>
  <si>
    <t>New Tariff</t>
  </si>
  <si>
    <t>% Change</t>
  </si>
  <si>
    <t>Enter Tariff:</t>
  </si>
  <si>
    <t>% vs Base</t>
  </si>
  <si>
    <t>Result:</t>
  </si>
  <si>
    <t>Net Profit Change</t>
  </si>
  <si>
    <t>NP Change</t>
  </si>
  <si>
    <t>Custom Scenario (enter any tariff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</si>
</sst>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8" formatCode="&quot;$&quot;#,##0.00_);[Red]\(&quot;$&quot;#,##0.00\)"/>
    <numFmt numFmtId="43" formatCode="_(* #,##0.00_);_(* \(#,##0.00\);_(* &quot;-&quot;??_);_(@_)"/>
    <numFmt numFmtId="164" formatCode="_-* #,##0_-;\-* #,##0_-;_-* &quot;-&quot;??_-;_-@_-"/>
    <numFmt numFmtId="165" formatCode="0\ &quot;years&quot;"/>
    <numFmt numFmtId="166" formatCode="[$₦-469]\ #,##0.00"/>
    <numFmt numFmtId="167" formatCode="#\ &quot;MW&quot;"/>
    <numFmt numFmtId="168" formatCode="#\ &quot;days&quot;"/>
    <numFmt numFmtId="169" formatCode="#,###\ &quot;MWh&quot;"/>
    <numFmt numFmtId="170" formatCode="0.00\ %\ &quot;of plant value&quot;"/>
    <numFmt numFmtId="171" formatCode="#\ &quot;million per MW&quot;"/>
    <numFmt numFmtId="172" formatCode="#\ &quot;million/year&quot;"/>
    <numFmt numFmtId="173" formatCode="#\ &quot;/kWh&quot;"/>
    <numFmt numFmtId="174" formatCode="#,###\ &quot;per customer&quot;"/>
    <numFmt numFmtId="175" formatCode="#.###\ &quot;billion&quot;"/>
    <numFmt numFmtId="176" formatCode="0%&quot; of Revenue&quot;"/>
    <numFmt numFmtId="177" formatCode="#.##&quot;x&quot;"/>
    <numFmt numFmtId="178" formatCode="#,##0.0,,,&quot;bn&quot;"/>
    <numFmt numFmtId="179" formatCode="0.00\x"/>
    <numFmt numFmtId="180" formatCode="0.0%"/>
    <numFmt numFmtId="181" formatCode="\₦#,##0.00"/>
    <numFmt numFmtId="182" formatCode="\₦#,##0"/>
    <numFmt numFmtId="183" formatCode="\+0%;\-0%;0%"/>
    <numFmt numFmtId="184" formatCode="\+0.0%;\-0.0%;0.0%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1"/>
      <color indexed="12"/>
      <name val="Book Antiqua"/>
      <family val="1"/>
    </font>
    <font>
      <sz val="8"/>
      <name val="Arial"/>
      <family val="2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26"/>
      <color theme="1"/>
      <name val="Copperplate Gothic Bold"/>
      <family val="2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u/>
      <sz val="10"/>
      <color theme="10"/>
      <name val="Arial"/>
      <family val="2"/>
    </font>
    <font>
      <sz val="12"/>
      <color rgb="FF00206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00B050"/>
      <name val="Aptos Display"/>
      <family val="2"/>
      <scheme val="major"/>
    </font>
    <font>
      <b/>
      <sz val="12"/>
      <name val="Aptos Display"/>
      <family val="2"/>
      <scheme val="major"/>
    </font>
    <font>
      <b/>
      <i/>
      <sz val="12"/>
      <color indexed="10"/>
      <name val="Aptos Display"/>
      <family val="2"/>
      <scheme val="major"/>
    </font>
    <font>
      <i/>
      <sz val="12"/>
      <color indexed="10"/>
      <name val="Aptos Display"/>
      <family val="2"/>
      <scheme val="major"/>
    </font>
    <font>
      <sz val="12"/>
      <name val="Aptos Display"/>
      <family val="2"/>
      <scheme val="major"/>
    </font>
    <font>
      <i/>
      <sz val="12"/>
      <color rgb="FF00B050"/>
      <name val="Aptos Display"/>
      <family val="2"/>
      <scheme val="major"/>
    </font>
    <font>
      <b/>
      <u/>
      <sz val="12"/>
      <name val="Aptos Display"/>
      <family val="2"/>
      <scheme val="major"/>
    </font>
    <font>
      <b/>
      <i/>
      <sz val="12"/>
      <name val="Aptos Display"/>
      <family val="2"/>
      <scheme val="major"/>
    </font>
    <font>
      <sz val="12"/>
      <color rgb="FF0070C0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</font>
    <font>
      <i/>
      <sz val="12"/>
      <color rgb="FF595959"/>
      <name val="Aptos Narrow"/>
      <family val="2"/>
    </font>
    <font>
      <b/>
      <sz val="12"/>
      <color rgb="FFFFFFFF"/>
      <name val="Aptos Narrow"/>
      <family val="2"/>
    </font>
    <font>
      <b/>
      <sz val="12"/>
      <color rgb="FF595959"/>
      <name val="Aptos Narrow"/>
      <family val="2"/>
    </font>
    <font>
      <sz val="12"/>
      <color rgb="FF00B050"/>
      <name val="Aptos Narrow"/>
      <family val="2"/>
    </font>
    <font>
      <b/>
      <sz val="12"/>
      <color rgb="FF1E6B3A"/>
      <name val="Aptos Narrow"/>
      <family val="2"/>
    </font>
    <font>
      <b/>
      <sz val="12"/>
      <color rgb="FF1A1A1A"/>
      <name val="Aptos Narrow"/>
      <family val="2"/>
    </font>
    <font>
      <i/>
      <sz val="12"/>
      <color rgb="FF808080"/>
      <name val="Aptos Narrow"/>
      <family val="2"/>
    </font>
    <font>
      <b/>
      <sz val="16"/>
      <color rgb="FFFFFFFF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b/>
      <sz val="16"/>
      <color theme="0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b/>
      <sz val="12"/>
      <color rgb="FFFFFFFF"/>
      <name val="Aptos Narrow"/>
      <family val="2"/>
      <scheme val="minor"/>
    </font>
    <font>
      <b/>
      <sz val="12"/>
      <color rgb="FFFFFFFF"/>
      <name val="Aptos Display"/>
      <family val="2"/>
      <scheme val="major"/>
    </font>
    <font>
      <b/>
      <sz val="12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00B050"/>
        <bgColor rgb="FF196B2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tted">
        <color theme="6"/>
      </right>
      <top/>
      <bottom/>
      <diagonal/>
    </border>
    <border>
      <left style="dotted">
        <color theme="6"/>
      </left>
      <right style="dotted">
        <color theme="6"/>
      </right>
      <top style="dotted">
        <color theme="6"/>
      </top>
      <bottom style="dotted">
        <color theme="6"/>
      </bottom>
      <diagonal/>
    </border>
    <border>
      <left/>
      <right style="dotted">
        <color theme="6"/>
      </right>
      <top/>
      <bottom style="dotted">
        <color theme="6"/>
      </bottom>
      <diagonal/>
    </border>
    <border>
      <left style="dotted">
        <color theme="6"/>
      </left>
      <right style="dotted">
        <color theme="6"/>
      </right>
      <top/>
      <bottom/>
      <diagonal/>
    </border>
    <border>
      <left style="dotted">
        <color theme="6"/>
      </left>
      <right style="dotted">
        <color theme="6"/>
      </right>
      <top/>
      <bottom style="dotted">
        <color theme="6"/>
      </bottom>
      <diagonal/>
    </border>
    <border>
      <left/>
      <right style="dotted">
        <color theme="6"/>
      </right>
      <top style="dotted">
        <color theme="6"/>
      </top>
      <bottom style="dotted">
        <color theme="6"/>
      </bottom>
      <diagonal/>
    </border>
    <border>
      <left style="thin">
        <color theme="6" tint="-0.249977111117893"/>
      </left>
      <right/>
      <top/>
      <bottom/>
      <diagonal/>
    </border>
    <border>
      <left/>
      <right style="thin">
        <color theme="6" tint="-0.249977111117893"/>
      </right>
      <top/>
      <bottom/>
      <diagonal/>
    </border>
    <border>
      <left style="thin">
        <color theme="6" tint="-0.249977111117893"/>
      </left>
      <right/>
      <top/>
      <bottom style="thin">
        <color theme="6" tint="-0.249977111117893"/>
      </bottom>
      <diagonal/>
    </border>
    <border>
      <left/>
      <right/>
      <top/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/>
      <diagonal/>
    </border>
    <border>
      <left/>
      <right/>
      <top style="thin">
        <color theme="6" tint="-0.249977111117893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theme="6" tint="-0.249977111117893"/>
      </right>
      <top style="thin">
        <color theme="6" tint="-0.249977111117893"/>
      </top>
      <bottom/>
      <diagonal/>
    </border>
    <border>
      <left/>
      <right/>
      <top/>
      <bottom style="medium">
        <color theme="6" tint="-0.249977111117893"/>
      </bottom>
      <diagonal/>
    </border>
    <border>
      <left/>
      <right/>
      <top/>
      <bottom style="double">
        <color theme="6" tint="-0.249977111117893"/>
      </bottom>
      <diagonal/>
    </border>
    <border>
      <left/>
      <right/>
      <top style="double">
        <color theme="6" tint="-0.249977111117893"/>
      </top>
      <bottom style="double">
        <color theme="6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auto="1"/>
      </top>
      <bottom style="dotted">
        <color indexed="64"/>
      </bottom>
      <diagonal/>
    </border>
    <border>
      <left style="thin">
        <color rgb="FFD9D9D9"/>
      </left>
      <right style="thin">
        <color rgb="FFD9D9D9"/>
      </right>
      <top style="thick">
        <color rgb="FF2E7D4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tted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ont="0" applyFill="0" applyBorder="0" applyProtection="0">
      <alignment horizontal="centerContinuous"/>
    </xf>
    <xf numFmtId="0" fontId="3" fillId="0" borderId="1" applyNumberFormat="0" applyFont="0" applyFill="0" applyAlignment="0" applyProtection="0"/>
    <xf numFmtId="0" fontId="3" fillId="0" borderId="0" applyNumberFormat="0" applyFont="0" applyFill="0" applyBorder="0" applyProtection="0">
      <alignment horizontal="center"/>
    </xf>
    <xf numFmtId="43" fontId="4" fillId="0" borderId="0" applyFont="0" applyFill="0" applyBorder="0" applyAlignment="0" applyProtection="0"/>
    <xf numFmtId="8" fontId="5" fillId="0" borderId="2">
      <protection locked="0"/>
    </xf>
    <xf numFmtId="0" fontId="3" fillId="0" borderId="3" applyNumberFormat="0" applyFont="0" applyFill="0" applyAlignment="0" applyProtection="0"/>
    <xf numFmtId="0" fontId="6" fillId="0" borderId="0" applyNumberFormat="0" applyFill="0" applyBorder="0" applyAlignment="0" applyProtection="0"/>
    <xf numFmtId="164" fontId="4" fillId="0" borderId="0" applyNumberFormat="0" applyFill="0" applyBorder="0" applyAlignment="0" applyProtection="0"/>
    <xf numFmtId="0" fontId="3" fillId="0" borderId="4" applyNumberFormat="0" applyFont="0" applyFill="0" applyAlignment="0" applyProtection="0"/>
    <xf numFmtId="0" fontId="7" fillId="0" borderId="0"/>
    <xf numFmtId="43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32" fillId="0" borderId="0"/>
  </cellStyleXfs>
  <cellXfs count="248">
    <xf numFmtId="0" fontId="0" fillId="0" borderId="0" xfId="0"/>
    <xf numFmtId="0" fontId="11" fillId="0" borderId="0" xfId="0" applyFont="1"/>
    <xf numFmtId="0" fontId="7" fillId="0" borderId="0" xfId="0" applyFont="1"/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72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73" fontId="12" fillId="0" borderId="7" xfId="0" applyNumberFormat="1" applyFont="1" applyBorder="1" applyAlignment="1">
      <alignment horizontal="right" vertical="center"/>
    </xf>
    <xf numFmtId="3" fontId="12" fillId="0" borderId="7" xfId="0" applyNumberFormat="1" applyFont="1" applyBorder="1" applyAlignment="1">
      <alignment horizontal="right" vertical="center"/>
    </xf>
    <xf numFmtId="174" fontId="12" fillId="0" borderId="7" xfId="0" applyNumberFormat="1" applyFont="1" applyBorder="1" applyAlignment="1">
      <alignment horizontal="right" vertical="center"/>
    </xf>
    <xf numFmtId="174" fontId="12" fillId="0" borderId="9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0" fontId="9" fillId="0" borderId="0" xfId="0" applyFont="1"/>
    <xf numFmtId="0" fontId="8" fillId="0" borderId="0" xfId="0" applyFont="1"/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4" xfId="0" applyFont="1" applyBorder="1"/>
    <xf numFmtId="0" fontId="7" fillId="0" borderId="27" xfId="0" applyFont="1" applyBorder="1"/>
    <xf numFmtId="0" fontId="14" fillId="0" borderId="0" xfId="0" applyFont="1"/>
    <xf numFmtId="14" fontId="15" fillId="0" borderId="0" xfId="0" applyNumberFormat="1" applyFont="1"/>
    <xf numFmtId="0" fontId="7" fillId="0" borderId="13" xfId="0" applyFont="1" applyBorder="1"/>
    <xf numFmtId="0" fontId="7" fillId="0" borderId="0" xfId="0" applyFont="1" applyAlignment="1">
      <alignment vertical="center" wrapText="1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23" xfId="0" applyFont="1" applyBorder="1"/>
    <xf numFmtId="0" fontId="7" fillId="0" borderId="23" xfId="0" applyFont="1" applyBorder="1" applyAlignment="1">
      <alignment vertical="center" wrapText="1"/>
    </xf>
    <xf numFmtId="0" fontId="7" fillId="0" borderId="26" xfId="0" applyFont="1" applyBorder="1"/>
    <xf numFmtId="0" fontId="7" fillId="0" borderId="33" xfId="0" applyFont="1" applyBorder="1"/>
    <xf numFmtId="167" fontId="12" fillId="0" borderId="24" xfId="0" applyNumberFormat="1" applyFont="1" applyBorder="1" applyAlignment="1">
      <alignment horizontal="right" vertical="center"/>
    </xf>
    <xf numFmtId="168" fontId="12" fillId="0" borderId="24" xfId="0" applyNumberFormat="1" applyFont="1" applyBorder="1" applyAlignment="1">
      <alignment horizontal="right" vertical="center"/>
    </xf>
    <xf numFmtId="9" fontId="12" fillId="0" borderId="24" xfId="0" applyNumberFormat="1" applyFont="1" applyBorder="1" applyAlignment="1">
      <alignment horizontal="right" vertical="center"/>
    </xf>
    <xf numFmtId="9" fontId="12" fillId="0" borderId="24" xfId="1" applyFont="1" applyBorder="1"/>
    <xf numFmtId="169" fontId="12" fillId="0" borderId="24" xfId="0" applyNumberFormat="1" applyFont="1" applyBorder="1" applyAlignment="1">
      <alignment horizontal="right" vertical="center"/>
    </xf>
    <xf numFmtId="170" fontId="12" fillId="0" borderId="24" xfId="0" applyNumberFormat="1" applyFont="1" applyBorder="1" applyAlignment="1">
      <alignment horizontal="right" vertical="center"/>
    </xf>
    <xf numFmtId="171" fontId="12" fillId="0" borderId="24" xfId="0" applyNumberFormat="1" applyFont="1" applyBorder="1" applyAlignment="1">
      <alignment horizontal="right" vertical="center"/>
    </xf>
    <xf numFmtId="172" fontId="12" fillId="0" borderId="24" xfId="0" applyNumberFormat="1" applyFont="1" applyBorder="1" applyAlignment="1">
      <alignment horizontal="right" vertical="center"/>
    </xf>
    <xf numFmtId="168" fontId="12" fillId="0" borderId="24" xfId="0" applyNumberFormat="1" applyFont="1" applyBorder="1" applyAlignment="1">
      <alignment horizontal="right"/>
    </xf>
    <xf numFmtId="0" fontId="12" fillId="0" borderId="24" xfId="0" applyFont="1" applyBorder="1" applyAlignment="1">
      <alignment horizontal="right" vertical="center" wrapText="1"/>
    </xf>
    <xf numFmtId="0" fontId="7" fillId="0" borderId="25" xfId="0" applyFont="1" applyBorder="1" applyAlignment="1">
      <alignment vertical="center" wrapText="1"/>
    </xf>
    <xf numFmtId="0" fontId="12" fillId="0" borderId="27" xfId="0" applyFont="1" applyBorder="1" applyAlignment="1">
      <alignment horizontal="right" vertical="center" wrapText="1"/>
    </xf>
    <xf numFmtId="165" fontId="12" fillId="0" borderId="24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horizontal="right"/>
    </xf>
    <xf numFmtId="175" fontId="12" fillId="0" borderId="34" xfId="0" applyNumberFormat="1" applyFont="1" applyBorder="1" applyAlignment="1">
      <alignment horizontal="right" vertical="center"/>
    </xf>
    <xf numFmtId="9" fontId="12" fillId="0" borderId="27" xfId="0" applyNumberFormat="1" applyFont="1" applyBorder="1" applyAlignment="1">
      <alignment horizontal="right" vertical="center"/>
    </xf>
    <xf numFmtId="9" fontId="12" fillId="0" borderId="0" xfId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9" fontId="12" fillId="0" borderId="0" xfId="0" applyNumberFormat="1" applyFont="1" applyAlignment="1">
      <alignment horizontal="center" vertical="center"/>
    </xf>
    <xf numFmtId="9" fontId="12" fillId="0" borderId="24" xfId="1" applyFont="1" applyBorder="1" applyAlignment="1">
      <alignment horizontal="right" vertical="center"/>
    </xf>
    <xf numFmtId="0" fontId="7" fillId="0" borderId="28" xfId="0" applyFont="1" applyBorder="1" applyAlignment="1">
      <alignment vertical="center"/>
    </xf>
    <xf numFmtId="0" fontId="12" fillId="0" borderId="29" xfId="0" applyFont="1" applyBorder="1" applyAlignment="1">
      <alignment horizontal="right" vertical="center"/>
    </xf>
    <xf numFmtId="0" fontId="12" fillId="0" borderId="30" xfId="0" applyFont="1" applyBorder="1" applyAlignment="1">
      <alignment horizontal="right"/>
    </xf>
    <xf numFmtId="0" fontId="18" fillId="0" borderId="0" xfId="14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0" fillId="0" borderId="0" xfId="14" applyFont="1"/>
    <xf numFmtId="0" fontId="20" fillId="0" borderId="0" xfId="0" applyFont="1" applyAlignment="1">
      <alignment horizontal="right" vertical="center"/>
    </xf>
    <xf numFmtId="176" fontId="12" fillId="0" borderId="24" xfId="1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9" fontId="12" fillId="0" borderId="24" xfId="1" applyFont="1" applyBorder="1" applyAlignment="1">
      <alignment horizontal="right" vertical="center" wrapText="1"/>
    </xf>
    <xf numFmtId="39" fontId="20" fillId="0" borderId="0" xfId="0" applyNumberFormat="1" applyFont="1"/>
    <xf numFmtId="0" fontId="22" fillId="0" borderId="0" xfId="0" applyFont="1" applyAlignment="1">
      <alignment horizontal="centerContinuous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39" fontId="23" fillId="0" borderId="0" xfId="0" applyNumberFormat="1" applyFont="1" applyAlignment="1">
      <alignment horizontal="centerContinuous"/>
    </xf>
    <xf numFmtId="0" fontId="22" fillId="0" borderId="13" xfId="0" applyFont="1" applyBorder="1" applyAlignment="1">
      <alignment horizontal="centerContinuous"/>
    </xf>
    <xf numFmtId="0" fontId="23" fillId="0" borderId="13" xfId="0" applyFont="1" applyBorder="1" applyAlignment="1">
      <alignment horizontal="centerContinuous"/>
    </xf>
    <xf numFmtId="0" fontId="24" fillId="0" borderId="13" xfId="0" applyFont="1" applyBorder="1" applyAlignment="1">
      <alignment horizontal="centerContinuous"/>
    </xf>
    <xf numFmtId="39" fontId="23" fillId="0" borderId="13" xfId="0" applyNumberFormat="1" applyFont="1" applyBorder="1" applyAlignment="1">
      <alignment horizontal="centerContinuous"/>
    </xf>
    <xf numFmtId="0" fontId="22" fillId="0" borderId="0" xfId="0" quotePrefix="1" applyFont="1" applyAlignment="1">
      <alignment horizontal="left"/>
    </xf>
    <xf numFmtId="0" fontId="25" fillId="0" borderId="0" xfId="0" applyFont="1"/>
    <xf numFmtId="39" fontId="25" fillId="0" borderId="0" xfId="0" applyNumberFormat="1" applyFont="1"/>
    <xf numFmtId="0" fontId="25" fillId="0" borderId="0" xfId="0" quotePrefix="1" applyFont="1"/>
    <xf numFmtId="39" fontId="26" fillId="0" borderId="0" xfId="0" applyNumberFormat="1" applyFont="1"/>
    <xf numFmtId="9" fontId="26" fillId="0" borderId="0" xfId="1" applyFont="1" applyFill="1" applyBorder="1" applyAlignment="1" applyProtection="1"/>
    <xf numFmtId="0" fontId="25" fillId="0" borderId="0" xfId="0" applyFont="1" applyAlignment="1">
      <alignment horizontal="left"/>
    </xf>
    <xf numFmtId="0" fontId="25" fillId="0" borderId="0" xfId="0" quotePrefix="1" applyFont="1" applyAlignment="1">
      <alignment horizontal="left"/>
    </xf>
    <xf numFmtId="39" fontId="22" fillId="0" borderId="0" xfId="0" applyNumberFormat="1" applyFont="1"/>
    <xf numFmtId="0" fontId="22" fillId="0" borderId="0" xfId="0" applyFont="1" applyAlignment="1">
      <alignment horizontal="left"/>
    </xf>
    <xf numFmtId="39" fontId="21" fillId="0" borderId="0" xfId="0" applyNumberFormat="1" applyFont="1"/>
    <xf numFmtId="9" fontId="21" fillId="0" borderId="0" xfId="1" applyFont="1" applyFill="1" applyBorder="1" applyAlignment="1" applyProtection="1"/>
    <xf numFmtId="0" fontId="25" fillId="0" borderId="15" xfId="0" applyFont="1" applyBorder="1"/>
    <xf numFmtId="0" fontId="22" fillId="0" borderId="15" xfId="0" applyFont="1" applyBorder="1" applyAlignment="1">
      <alignment horizontal="left"/>
    </xf>
    <xf numFmtId="0" fontId="25" fillId="0" borderId="15" xfId="0" applyFont="1" applyBorder="1" applyAlignment="1">
      <alignment horizontal="left"/>
    </xf>
    <xf numFmtId="39" fontId="22" fillId="0" borderId="15" xfId="0" applyNumberFormat="1" applyFont="1" applyBorder="1"/>
    <xf numFmtId="0" fontId="22" fillId="0" borderId="0" xfId="0" applyFont="1"/>
    <xf numFmtId="39" fontId="25" fillId="0" borderId="15" xfId="0" applyNumberFormat="1" applyFont="1" applyBorder="1"/>
    <xf numFmtId="0" fontId="19" fillId="0" borderId="0" xfId="0" applyFont="1"/>
    <xf numFmtId="0" fontId="25" fillId="0" borderId="14" xfId="0" applyFont="1" applyBorder="1"/>
    <xf numFmtId="39" fontId="25" fillId="0" borderId="14" xfId="0" applyNumberFormat="1" applyFont="1" applyBorder="1"/>
    <xf numFmtId="0" fontId="25" fillId="0" borderId="0" xfId="0" applyFont="1" applyAlignment="1">
      <alignment horizontal="centerContinuous"/>
    </xf>
    <xf numFmtId="39" fontId="25" fillId="0" borderId="0" xfId="0" applyNumberFormat="1" applyFont="1" applyAlignment="1">
      <alignment horizontal="centerContinuous"/>
    </xf>
    <xf numFmtId="0" fontId="20" fillId="0" borderId="17" xfId="0" applyFont="1" applyBorder="1"/>
    <xf numFmtId="0" fontId="25" fillId="0" borderId="16" xfId="0" applyFont="1" applyBorder="1"/>
    <xf numFmtId="0" fontId="27" fillId="0" borderId="16" xfId="0" applyFont="1" applyBorder="1"/>
    <xf numFmtId="39" fontId="21" fillId="0" borderId="16" xfId="0" applyNumberFormat="1" applyFont="1" applyBorder="1"/>
    <xf numFmtId="0" fontId="27" fillId="0" borderId="0" xfId="0" applyFont="1"/>
    <xf numFmtId="0" fontId="28" fillId="0" borderId="0" xfId="0" applyFont="1"/>
    <xf numFmtId="39" fontId="27" fillId="0" borderId="0" xfId="0" applyNumberFormat="1" applyFont="1"/>
    <xf numFmtId="0" fontId="20" fillId="0" borderId="0" xfId="0" applyFont="1" applyAlignment="1">
      <alignment vertical="center"/>
    </xf>
    <xf numFmtId="10" fontId="21" fillId="0" borderId="0" xfId="1" applyNumberFormat="1" applyFont="1" applyFill="1" applyBorder="1" applyAlignment="1" applyProtection="1"/>
    <xf numFmtId="39" fontId="22" fillId="0" borderId="11" xfId="0" applyNumberFormat="1" applyFont="1" applyBorder="1"/>
    <xf numFmtId="0" fontId="19" fillId="0" borderId="0" xfId="0" applyFont="1" applyAlignment="1">
      <alignment horizontal="center"/>
    </xf>
    <xf numFmtId="39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39" fontId="20" fillId="0" borderId="29" xfId="0" applyNumberFormat="1" applyFont="1" applyBorder="1"/>
    <xf numFmtId="4" fontId="20" fillId="0" borderId="0" xfId="0" applyNumberFormat="1" applyFont="1"/>
    <xf numFmtId="4" fontId="19" fillId="0" borderId="29" xfId="0" applyNumberFormat="1" applyFont="1" applyBorder="1"/>
    <xf numFmtId="0" fontId="20" fillId="0" borderId="14" xfId="0" applyFont="1" applyBorder="1"/>
    <xf numFmtId="0" fontId="25" fillId="0" borderId="0" xfId="2" applyFont="1"/>
    <xf numFmtId="0" fontId="22" fillId="0" borderId="0" xfId="2" applyFont="1"/>
    <xf numFmtId="0" fontId="25" fillId="0" borderId="14" xfId="2" applyFont="1" applyBorder="1"/>
    <xf numFmtId="5" fontId="25" fillId="0" borderId="0" xfId="2" applyNumberFormat="1" applyFont="1"/>
    <xf numFmtId="9" fontId="21" fillId="0" borderId="0" xfId="1" applyFont="1"/>
    <xf numFmtId="43" fontId="21" fillId="0" borderId="0" xfId="13" applyFont="1" applyAlignment="1">
      <alignment horizontal="right" vertical="center"/>
    </xf>
    <xf numFmtId="39" fontId="25" fillId="0" borderId="32" xfId="0" applyNumberFormat="1" applyFont="1" applyBorder="1"/>
    <xf numFmtId="39" fontId="25" fillId="0" borderId="29" xfId="0" applyNumberFormat="1" applyFont="1" applyBorder="1" applyAlignment="1">
      <alignment horizontal="right" vertical="center"/>
    </xf>
    <xf numFmtId="0" fontId="20" fillId="0" borderId="35" xfId="0" applyFont="1" applyBorder="1"/>
    <xf numFmtId="0" fontId="18" fillId="0" borderId="35" xfId="14" applyFont="1" applyBorder="1"/>
    <xf numFmtId="0" fontId="19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right" vertical="center"/>
    </xf>
    <xf numFmtId="43" fontId="7" fillId="0" borderId="0" xfId="13" applyFont="1"/>
    <xf numFmtId="43" fontId="7" fillId="0" borderId="0" xfId="0" applyNumberFormat="1" applyFont="1"/>
    <xf numFmtId="43" fontId="13" fillId="0" borderId="0" xfId="13" applyFont="1"/>
    <xf numFmtId="9" fontId="13" fillId="0" borderId="0" xfId="13" applyNumberFormat="1" applyFont="1"/>
    <xf numFmtId="43" fontId="11" fillId="0" borderId="0" xfId="13" applyFont="1"/>
    <xf numFmtId="0" fontId="11" fillId="0" borderId="0" xfId="0" applyFont="1" applyAlignment="1">
      <alignment horizontal="right"/>
    </xf>
    <xf numFmtId="43" fontId="22" fillId="0" borderId="0" xfId="2" applyNumberFormat="1" applyFont="1"/>
    <xf numFmtId="43" fontId="22" fillId="0" borderId="29" xfId="2" applyNumberFormat="1" applyFont="1" applyBorder="1"/>
    <xf numFmtId="43" fontId="25" fillId="0" borderId="0" xfId="2" applyNumberFormat="1" applyFont="1"/>
    <xf numFmtId="43" fontId="25" fillId="0" borderId="36" xfId="2" applyNumberFormat="1" applyFont="1" applyBorder="1"/>
    <xf numFmtId="43" fontId="25" fillId="0" borderId="37" xfId="2" applyNumberFormat="1" applyFont="1" applyBorder="1"/>
    <xf numFmtId="43" fontId="25" fillId="0" borderId="0" xfId="0" applyNumberFormat="1" applyFont="1"/>
    <xf numFmtId="9" fontId="25" fillId="0" borderId="0" xfId="2" applyNumberFormat="1" applyFont="1"/>
    <xf numFmtId="9" fontId="21" fillId="0" borderId="0" xfId="2" applyNumberFormat="1" applyFont="1"/>
    <xf numFmtId="39" fontId="25" fillId="0" borderId="29" xfId="2" applyNumberFormat="1" applyFont="1" applyBorder="1"/>
    <xf numFmtId="39" fontId="19" fillId="0" borderId="0" xfId="0" applyNumberFormat="1" applyFont="1"/>
    <xf numFmtId="39" fontId="19" fillId="0" borderId="29" xfId="0" applyNumberFormat="1" applyFont="1" applyBorder="1"/>
    <xf numFmtId="14" fontId="20" fillId="0" borderId="0" xfId="0" applyNumberFormat="1" applyFont="1"/>
    <xf numFmtId="0" fontId="21" fillId="0" borderId="0" xfId="0" applyFont="1"/>
    <xf numFmtId="0" fontId="29" fillId="0" borderId="0" xfId="0" applyFont="1"/>
    <xf numFmtId="43" fontId="20" fillId="0" borderId="0" xfId="13" applyFont="1"/>
    <xf numFmtId="43" fontId="25" fillId="0" borderId="0" xfId="13" applyFont="1" applyFill="1" applyBorder="1"/>
    <xf numFmtId="39" fontId="25" fillId="0" borderId="32" xfId="0" applyNumberFormat="1" applyFont="1" applyBorder="1" applyAlignment="1">
      <alignment horizontal="right" vertical="center"/>
    </xf>
    <xf numFmtId="39" fontId="20" fillId="0" borderId="0" xfId="13" applyNumberFormat="1" applyFont="1"/>
    <xf numFmtId="39" fontId="20" fillId="0" borderId="38" xfId="13" applyNumberFormat="1" applyFont="1" applyBorder="1"/>
    <xf numFmtId="0" fontId="20" fillId="0" borderId="39" xfId="0" applyFont="1" applyBorder="1"/>
    <xf numFmtId="0" fontId="20" fillId="0" borderId="40" xfId="0" applyFont="1" applyBorder="1"/>
    <xf numFmtId="39" fontId="20" fillId="0" borderId="40" xfId="0" applyNumberFormat="1" applyFont="1" applyBorder="1"/>
    <xf numFmtId="39" fontId="20" fillId="0" borderId="35" xfId="0" applyNumberFormat="1" applyFont="1" applyBorder="1"/>
    <xf numFmtId="9" fontId="7" fillId="0" borderId="29" xfId="0" applyNumberFormat="1" applyFont="1" applyBorder="1" applyAlignment="1">
      <alignment vertical="center"/>
    </xf>
    <xf numFmtId="0" fontId="30" fillId="0" borderId="0" xfId="0" applyFont="1"/>
    <xf numFmtId="39" fontId="25" fillId="0" borderId="0" xfId="2" applyNumberFormat="1" applyFont="1"/>
    <xf numFmtId="39" fontId="29" fillId="0" borderId="0" xfId="2" applyNumberFormat="1" applyFont="1"/>
    <xf numFmtId="39" fontId="25" fillId="0" borderId="14" xfId="2" applyNumberFormat="1" applyFont="1" applyBorder="1"/>
    <xf numFmtId="39" fontId="29" fillId="0" borderId="0" xfId="0" applyNumberFormat="1" applyFont="1"/>
    <xf numFmtId="9" fontId="21" fillId="0" borderId="14" xfId="1" applyFont="1" applyBorder="1"/>
    <xf numFmtId="43" fontId="22" fillId="0" borderId="38" xfId="2" applyNumberFormat="1" applyFont="1" applyBorder="1"/>
    <xf numFmtId="39" fontId="30" fillId="0" borderId="0" xfId="0" applyNumberFormat="1" applyFont="1"/>
    <xf numFmtId="0" fontId="31" fillId="0" borderId="13" xfId="0" applyFont="1" applyBorder="1"/>
    <xf numFmtId="0" fontId="20" fillId="2" borderId="0" xfId="0" applyFont="1" applyFill="1"/>
    <xf numFmtId="39" fontId="20" fillId="2" borderId="0" xfId="0" applyNumberFormat="1" applyFont="1" applyFill="1"/>
    <xf numFmtId="0" fontId="10" fillId="2" borderId="28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left"/>
    </xf>
    <xf numFmtId="0" fontId="10" fillId="2" borderId="29" xfId="0" applyFont="1" applyFill="1" applyBorder="1" applyAlignment="1">
      <alignment horizontal="right"/>
    </xf>
    <xf numFmtId="0" fontId="10" fillId="2" borderId="30" xfId="0" applyFont="1" applyFill="1" applyBorder="1" applyAlignment="1">
      <alignment horizontal="right"/>
    </xf>
    <xf numFmtId="0" fontId="10" fillId="2" borderId="31" xfId="0" applyFont="1" applyFill="1" applyBorder="1" applyAlignment="1">
      <alignment vertical="center"/>
    </xf>
    <xf numFmtId="0" fontId="10" fillId="2" borderId="32" xfId="0" applyFont="1" applyFill="1" applyBorder="1" applyAlignment="1">
      <alignment vertical="center"/>
    </xf>
    <xf numFmtId="0" fontId="10" fillId="2" borderId="34" xfId="0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Continuous" vertical="center" wrapText="1"/>
    </xf>
    <xf numFmtId="0" fontId="7" fillId="2" borderId="30" xfId="0" applyFont="1" applyFill="1" applyBorder="1" applyAlignment="1">
      <alignment horizontal="centerContinuous"/>
    </xf>
    <xf numFmtId="14" fontId="7" fillId="0" borderId="0" xfId="0" applyNumberFormat="1" applyFont="1"/>
    <xf numFmtId="0" fontId="12" fillId="0" borderId="17" xfId="0" applyFont="1" applyBorder="1" applyAlignment="1">
      <alignment horizontal="right" vertical="center"/>
    </xf>
    <xf numFmtId="10" fontId="12" fillId="0" borderId="17" xfId="0" applyNumberFormat="1" applyFont="1" applyBorder="1" applyAlignment="1">
      <alignment horizontal="right" vertical="center"/>
    </xf>
    <xf numFmtId="9" fontId="12" fillId="0" borderId="17" xfId="0" applyNumberFormat="1" applyFont="1" applyBorder="1" applyAlignment="1">
      <alignment horizontal="right" vertical="center"/>
    </xf>
    <xf numFmtId="0" fontId="12" fillId="0" borderId="19" xfId="0" applyFont="1" applyBorder="1" applyAlignment="1">
      <alignment horizontal="right" vertical="center"/>
    </xf>
    <xf numFmtId="177" fontId="19" fillId="0" borderId="0" xfId="0" applyNumberFormat="1" applyFont="1"/>
    <xf numFmtId="0" fontId="22" fillId="0" borderId="35" xfId="14" applyFont="1" applyBorder="1"/>
    <xf numFmtId="0" fontId="19" fillId="0" borderId="35" xfId="0" applyFont="1" applyBorder="1"/>
    <xf numFmtId="43" fontId="20" fillId="0" borderId="0" xfId="0" applyNumberFormat="1" applyFont="1"/>
    <xf numFmtId="0" fontId="33" fillId="0" borderId="0" xfId="19" applyFont="1"/>
    <xf numFmtId="0" fontId="34" fillId="0" borderId="0" xfId="19" applyFont="1"/>
    <xf numFmtId="0" fontId="36" fillId="0" borderId="0" xfId="19" applyFont="1"/>
    <xf numFmtId="3" fontId="37" fillId="0" borderId="0" xfId="19" applyNumberFormat="1" applyFont="1"/>
    <xf numFmtId="0" fontId="36" fillId="3" borderId="41" xfId="19" applyFont="1" applyFill="1" applyBorder="1" applyAlignment="1">
      <alignment horizontal="center" vertical="center" wrapText="1"/>
    </xf>
    <xf numFmtId="0" fontId="39" fillId="3" borderId="42" xfId="19" applyFont="1" applyFill="1" applyBorder="1" applyAlignment="1">
      <alignment horizontal="center" vertical="center" wrapText="1"/>
    </xf>
    <xf numFmtId="179" fontId="37" fillId="0" borderId="0" xfId="19" applyNumberFormat="1" applyFont="1"/>
    <xf numFmtId="180" fontId="37" fillId="0" borderId="0" xfId="19" applyNumberFormat="1" applyFont="1"/>
    <xf numFmtId="0" fontId="35" fillId="4" borderId="0" xfId="19" applyFont="1" applyFill="1" applyAlignment="1">
      <alignment vertical="center"/>
    </xf>
    <xf numFmtId="0" fontId="41" fillId="4" borderId="0" xfId="19" applyFont="1" applyFill="1" applyAlignment="1">
      <alignment vertical="center"/>
    </xf>
    <xf numFmtId="0" fontId="42" fillId="0" borderId="0" xfId="19" applyFont="1"/>
    <xf numFmtId="0" fontId="43" fillId="0" borderId="0" xfId="19" applyFont="1"/>
    <xf numFmtId="0" fontId="3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43" xfId="0" applyFont="1" applyBorder="1"/>
    <xf numFmtId="39" fontId="20" fillId="0" borderId="43" xfId="0" applyNumberFormat="1" applyFont="1" applyBorder="1"/>
    <xf numFmtId="0" fontId="44" fillId="2" borderId="0" xfId="0" applyFont="1" applyFill="1"/>
    <xf numFmtId="0" fontId="22" fillId="2" borderId="0" xfId="0" applyFont="1" applyFill="1" applyAlignment="1">
      <alignment horizontal="centerContinuous"/>
    </xf>
    <xf numFmtId="0" fontId="25" fillId="2" borderId="0" xfId="0" applyFont="1" applyFill="1" applyAlignment="1">
      <alignment horizontal="centerContinuous"/>
    </xf>
    <xf numFmtId="39" fontId="25" fillId="2" borderId="0" xfId="0" applyNumberFormat="1" applyFont="1" applyFill="1" applyAlignment="1">
      <alignment horizontal="centerContinuous"/>
    </xf>
    <xf numFmtId="39" fontId="44" fillId="2" borderId="0" xfId="0" applyNumberFormat="1" applyFont="1" applyFill="1"/>
    <xf numFmtId="0" fontId="34" fillId="0" borderId="0" xfId="19" applyFont="1" applyAlignment="1">
      <alignment horizontal="left" vertical="center" wrapText="1"/>
    </xf>
    <xf numFmtId="0" fontId="38" fillId="0" borderId="0" xfId="19" applyFont="1" applyAlignment="1">
      <alignment horizontal="left" vertical="center" wrapText="1"/>
    </xf>
    <xf numFmtId="0" fontId="36" fillId="3" borderId="41" xfId="19" applyFont="1" applyFill="1" applyBorder="1" applyAlignment="1">
      <alignment horizontal="left" vertical="center" wrapText="1"/>
    </xf>
    <xf numFmtId="0" fontId="38" fillId="0" borderId="0" xfId="19" applyFont="1"/>
    <xf numFmtId="0" fontId="40" fillId="0" borderId="0" xfId="19" applyFont="1" applyAlignment="1">
      <alignment horizontal="left" vertical="center" wrapText="1"/>
    </xf>
    <xf numFmtId="178" fontId="38" fillId="3" borderId="42" xfId="19" applyNumberFormat="1" applyFont="1" applyFill="1" applyBorder="1" applyAlignment="1">
      <alignment horizontal="left" vertical="center" wrapText="1"/>
    </xf>
    <xf numFmtId="179" fontId="38" fillId="3" borderId="42" xfId="19" applyNumberFormat="1" applyFont="1" applyFill="1" applyBorder="1" applyAlignment="1">
      <alignment horizontal="left" vertical="center" wrapText="1"/>
    </xf>
    <xf numFmtId="0" fontId="34" fillId="3" borderId="42" xfId="19" applyFont="1" applyFill="1" applyBorder="1" applyAlignment="1">
      <alignment horizontal="left" vertical="center" wrapText="1"/>
    </xf>
    <xf numFmtId="0" fontId="45" fillId="2" borderId="0" xfId="0" applyFont="1" applyFill="1"/>
    <xf numFmtId="0" fontId="46" fillId="0" borderId="0" xfId="0" applyFont="1"/>
    <xf numFmtId="9" fontId="12" fillId="0" borderId="45" xfId="0" applyNumberFormat="1" applyFont="1" applyBorder="1" applyAlignment="1">
      <alignment vertical="center"/>
    </xf>
    <xf numFmtId="181" fontId="7" fillId="0" borderId="45" xfId="0" applyNumberFormat="1" applyFont="1" applyBorder="1" applyAlignment="1">
      <alignment vertical="center"/>
    </xf>
    <xf numFmtId="182" fontId="7" fillId="0" borderId="45" xfId="0" applyNumberFormat="1" applyFont="1" applyBorder="1" applyAlignment="1">
      <alignment vertical="center"/>
    </xf>
    <xf numFmtId="182" fontId="20" fillId="0" borderId="44" xfId="0" applyNumberFormat="1" applyFont="1" applyBorder="1"/>
    <xf numFmtId="0" fontId="19" fillId="6" borderId="0" xfId="0" applyFont="1" applyFill="1"/>
    <xf numFmtId="0" fontId="19" fillId="7" borderId="45" xfId="0" applyFont="1" applyFill="1" applyBorder="1"/>
    <xf numFmtId="183" fontId="20" fillId="7" borderId="45" xfId="0" applyNumberFormat="1" applyFont="1" applyFill="1" applyBorder="1"/>
    <xf numFmtId="182" fontId="20" fillId="7" borderId="45" xfId="0" applyNumberFormat="1" applyFont="1" applyFill="1" applyBorder="1"/>
    <xf numFmtId="184" fontId="20" fillId="0" borderId="45" xfId="0" applyNumberFormat="1" applyFont="1" applyBorder="1"/>
    <xf numFmtId="182" fontId="20" fillId="7" borderId="44" xfId="0" applyNumberFormat="1" applyFont="1" applyFill="1" applyBorder="1"/>
    <xf numFmtId="39" fontId="19" fillId="6" borderId="0" xfId="0" applyNumberFormat="1" applyFont="1" applyFill="1"/>
    <xf numFmtId="184" fontId="20" fillId="7" borderId="45" xfId="0" applyNumberFormat="1" applyFont="1" applyFill="1" applyBorder="1"/>
    <xf numFmtId="0" fontId="46" fillId="0" borderId="0" xfId="0" applyFont="1" applyAlignment="1"/>
    <xf numFmtId="182" fontId="29" fillId="5" borderId="45" xfId="0" applyNumberFormat="1" applyFont="1" applyFill="1" applyBorder="1"/>
    <xf numFmtId="0" fontId="47" fillId="8" borderId="45" xfId="0" applyFont="1" applyFill="1" applyBorder="1" applyAlignment="1">
      <alignment horizontal="center" vertical="center"/>
    </xf>
    <xf numFmtId="0" fontId="48" fillId="8" borderId="44" xfId="0" applyFont="1" applyFill="1" applyBorder="1"/>
    <xf numFmtId="39" fontId="48" fillId="8" borderId="45" xfId="0" applyNumberFormat="1" applyFont="1" applyFill="1" applyBorder="1"/>
    <xf numFmtId="0" fontId="20" fillId="0" borderId="0" xfId="0" applyFont="1" applyFill="1"/>
    <xf numFmtId="9" fontId="49" fillId="0" borderId="45" xfId="0" applyNumberFormat="1" applyFont="1" applyFill="1" applyBorder="1" applyAlignment="1">
      <alignment vertical="center"/>
    </xf>
    <xf numFmtId="181" fontId="11" fillId="0" borderId="45" xfId="0" applyNumberFormat="1" applyFont="1" applyFill="1" applyBorder="1" applyAlignment="1">
      <alignment vertical="center"/>
    </xf>
    <xf numFmtId="182" fontId="11" fillId="0" borderId="45" xfId="0" applyNumberFormat="1" applyFont="1" applyFill="1" applyBorder="1" applyAlignment="1">
      <alignment vertical="center"/>
    </xf>
    <xf numFmtId="182" fontId="19" fillId="0" borderId="44" xfId="0" applyNumberFormat="1" applyFont="1" applyFill="1" applyBorder="1"/>
    <xf numFmtId="184" fontId="19" fillId="0" borderId="45" xfId="0" applyNumberFormat="1" applyFont="1" applyFill="1" applyBorder="1"/>
  </cellXfs>
  <cellStyles count="20">
    <cellStyle name="Across" xfId="3" xr:uid="{1E838998-5BAC-46BB-88DC-A85095C4014D}"/>
    <cellStyle name="Bottom" xfId="4" xr:uid="{B00E0B28-2487-4740-8387-E84284D1842A}"/>
    <cellStyle name="Center" xfId="5" xr:uid="{8A99FD14-4A89-4B32-AE1E-8468EF2556AE}"/>
    <cellStyle name="Comma" xfId="13" builtinId="3"/>
    <cellStyle name="Comma 2" xfId="6" xr:uid="{D5B275D5-D397-4447-8FD9-DC342167863F}"/>
    <cellStyle name="Comma 3" xfId="16" xr:uid="{737CEFC3-781F-4A60-9998-8CED56616C92}"/>
    <cellStyle name="Currency [2]" xfId="7" xr:uid="{C1EBFD21-0E28-4966-BF5D-83C60F973585}"/>
    <cellStyle name="Double" xfId="8" xr:uid="{201A9FA5-86FF-4739-9F26-2B9FE84392EC}"/>
    <cellStyle name="Hyperlink 2 2" xfId="18" xr:uid="{95536C2C-14E0-4EEF-9ABB-A16B473226FB}"/>
    <cellStyle name="Normal" xfId="0" builtinId="0"/>
    <cellStyle name="Normal 2" xfId="12" xr:uid="{EF151ED5-B563-4BE4-9C2A-CCC76BCE6F3F}"/>
    <cellStyle name="Normal 2 2 2" xfId="17" xr:uid="{FE12CE5D-4588-4941-AB8A-8809F0756095}"/>
    <cellStyle name="Normal 3" xfId="2" xr:uid="{72FCA025-AC10-46A2-8930-51ACD0BD8BED}"/>
    <cellStyle name="Normal 4" xfId="14" xr:uid="{B5A208F2-F6F7-4533-8D80-BBBE6D9F360B}"/>
    <cellStyle name="Normal 5" xfId="19" xr:uid="{E93EB454-4F07-4F76-B216-A23A034D9A39}"/>
    <cellStyle name="Numbers" xfId="9" xr:uid="{683B563A-31A0-4C07-875D-740EC8F2F07E}"/>
    <cellStyle name="Numbers - Bold - Italic" xfId="10" xr:uid="{363538A7-5F71-4E95-B1EE-5E14BEF9DC48}"/>
    <cellStyle name="Outline" xfId="11" xr:uid="{DE517E87-B16D-46D3-A0C5-0DF4907E583C}"/>
    <cellStyle name="Percent" xfId="1" builtinId="5"/>
    <cellStyle name="Percent 2" xfId="15" xr:uid="{9A89B954-0E75-40A1-A72E-74172391FE18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E6B3A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9A2-453C-91EE-FDABD9C43249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9A2-453C-91EE-FDABD9C43249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9A2-453C-91EE-FDABD9C4324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A2-453C-91EE-FDABD9C4324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A2-453C-91EE-FDABD9C4324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A2-453C-91EE-FDABD9C432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Model!$D$7:$D$9</c:f>
              <c:strCache>
                <c:ptCount val="3"/>
                <c:pt idx="0">
                  <c:v>Electricity sales</c:v>
                </c:pt>
                <c:pt idx="1">
                  <c:v>Connection fess</c:v>
                </c:pt>
                <c:pt idx="2">
                  <c:v>Fixed service charges</c:v>
                </c:pt>
              </c:strCache>
            </c:strRef>
          </c:cat>
          <c:val>
            <c:numRef>
              <c:f>Model!$H$7:$H$9</c:f>
              <c:numCache>
                <c:formatCode>#,##0.00_);\(#,##0.00\)</c:formatCode>
                <c:ptCount val="3"/>
                <c:pt idx="0">
                  <c:v>1614800880</c:v>
                </c:pt>
                <c:pt idx="1">
                  <c:v>180000000</c:v>
                </c:pt>
                <c:pt idx="2">
                  <c:v>108000000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A2-453C-91EE-FDABD9C43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P&amp;L Bridge (Revenue → Net Income)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E6B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Dashboard!$L$4:$L$7</c:f>
              <c:strCache>
                <c:ptCount val="4"/>
                <c:pt idx="0">
                  <c:v>Revenue</c:v>
                </c:pt>
                <c:pt idx="1">
                  <c:v>EBITDA</c:v>
                </c:pt>
                <c:pt idx="2">
                  <c:v>EBIT</c:v>
                </c:pt>
                <c:pt idx="3">
                  <c:v>Net Income</c:v>
                </c:pt>
              </c:strCache>
            </c:strRef>
          </c:cat>
          <c:val>
            <c:numRef>
              <c:f>Dashboard!$M$4:$M$7</c:f>
              <c:numCache>
                <c:formatCode>#,##0</c:formatCode>
                <c:ptCount val="4"/>
                <c:pt idx="0">
                  <c:v>1902800880</c:v>
                </c:pt>
                <c:pt idx="1">
                  <c:v>1710572871.2</c:v>
                </c:pt>
                <c:pt idx="2">
                  <c:v>1183496109.2952383</c:v>
                </c:pt>
                <c:pt idx="3">
                  <c:v>369668597.67929113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0-43DF-A6AD-28E622CC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426768"/>
        <c:axId val="65759865"/>
      </c:barChart>
      <c:catAx>
        <c:axId val="7642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5759865"/>
        <c:crosses val="autoZero"/>
        <c:auto val="1"/>
        <c:lblAlgn val="ctr"/>
        <c:lblOffset val="100"/>
        <c:noMultiLvlLbl val="0"/>
      </c:catAx>
      <c:valAx>
        <c:axId val="65759865"/>
        <c:scaling>
          <c:orientation val="minMax"/>
        </c:scaling>
        <c:delete val="0"/>
        <c:axPos val="l"/>
        <c:numFmt formatCode="#,##0.0,,,&quot;bn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426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Capital Structure (Debt vs Equity)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E6B3A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91B-44FF-9CDA-6F0E32D4EE2B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91B-44FF-9CDA-6F0E32D4EE2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B-44FF-9CDA-6F0E32D4EE2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1B-44FF-9CDA-6F0E32D4E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Dashboard!$L$10:$L$11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Dashboard!$M$10:$M$11</c:f>
              <c:numCache>
                <c:formatCode>#,##0</c:formatCode>
                <c:ptCount val="2"/>
                <c:pt idx="0">
                  <c:v>3719999999.9999995</c:v>
                </c:pt>
                <c:pt idx="1">
                  <c:v>2480000000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1B-44FF-9CDA-6F0E32D4E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10-Year Debt Paydown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1E6B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Model!$B$216:$B$225</c:f>
              <c:numCache>
                <c:formatCode>m/d/yyyy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Model!$H$216:$H$225</c:f>
              <c:numCache>
                <c:formatCode>_(* #,##0.00_);_(* \(#,##0.00\);_(* "-"??_);_(@_)</c:formatCode>
                <c:ptCount val="10"/>
                <c:pt idx="0">
                  <c:v>3561845534.2699265</c:v>
                </c:pt>
                <c:pt idx="1">
                  <c:v>3375223264.7084403</c:v>
                </c:pt>
                <c:pt idx="2">
                  <c:v>3155008986.6258864</c:v>
                </c:pt>
                <c:pt idx="3">
                  <c:v>2895156138.4884729</c:v>
                </c:pt>
                <c:pt idx="4">
                  <c:v>2588529777.6863251</c:v>
                </c:pt>
                <c:pt idx="5">
                  <c:v>2226710671.9397907</c:v>
                </c:pt>
                <c:pt idx="6">
                  <c:v>1799764127.15888</c:v>
                </c:pt>
                <c:pt idx="7">
                  <c:v>1295967204.3174055</c:v>
                </c:pt>
                <c:pt idx="8">
                  <c:v>701486835.36446548</c:v>
                </c:pt>
                <c:pt idx="9">
                  <c:v>-3.6954879760742188E-6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0-4A39-9510-7FA28C90B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872434"/>
        <c:axId val="11739552"/>
      </c:lineChart>
      <c:dateAx>
        <c:axId val="45872434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1739552"/>
        <c:crosses val="autoZero"/>
        <c:auto val="1"/>
        <c:lblOffset val="100"/>
        <c:baseTimeUnit val="years"/>
      </c:dateAx>
      <c:valAx>
        <c:axId val="11739552"/>
        <c:scaling>
          <c:orientation val="minMax"/>
        </c:scaling>
        <c:delete val="0"/>
        <c:axPos val="l"/>
        <c:numFmt formatCode="#,##0.0,,,&quot;bn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5872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77987</xdr:colOff>
      <xdr:row>6</xdr:row>
      <xdr:rowOff>23306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A278E-7324-A042-C042-2BD596BF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321" y="0"/>
          <a:ext cx="3057952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3</xdr:col>
      <xdr:colOff>368675</xdr:colOff>
      <xdr:row>29</xdr:row>
      <xdr:rowOff>44567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3EF70-E1B9-4690-AFE7-A6E3E8FB0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8</xdr:col>
      <xdr:colOff>110138</xdr:colOff>
      <xdr:row>29</xdr:row>
      <xdr:rowOff>44567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0767A-DCF2-4AE3-92DC-9441DFDBE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3</xdr:col>
      <xdr:colOff>368675</xdr:colOff>
      <xdr:row>45</xdr:row>
      <xdr:rowOff>44927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0F8A00-7CFD-4CEB-815E-15FF59ADB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8</xdr:col>
      <xdr:colOff>110138</xdr:colOff>
      <xdr:row>45</xdr:row>
      <xdr:rowOff>44927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87C33A-E745-416D-B2D0-3FC117235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17A4-CCDB-4F16-8D4C-42D918049FA5}">
  <dimension ref="B12:M26"/>
  <sheetViews>
    <sheetView showGridLines="0" zoomScale="70" zoomScaleNormal="70" zoomScaleSheetLayoutView="70" workbookViewId="0">
      <selection activeCell="O17" sqref="O17"/>
    </sheetView>
  </sheetViews>
  <sheetFormatPr defaultRowHeight="15.75"/>
  <cols>
    <col min="1" max="2" width="9.140625" style="2"/>
    <col min="3" max="3" width="17.140625" style="2" customWidth="1"/>
    <col min="4" max="16384" width="9.140625" style="2"/>
  </cols>
  <sheetData>
    <row r="12" spans="3:3" ht="33">
      <c r="C12" s="25" t="s">
        <v>101</v>
      </c>
    </row>
    <row r="13" spans="3:3" ht="21">
      <c r="C13" s="26">
        <f ca="1">TODAY()</f>
        <v>46216</v>
      </c>
    </row>
    <row r="24" spans="2:13">
      <c r="B24" s="2" t="s">
        <v>102</v>
      </c>
    </row>
    <row r="26" spans="2:13" ht="16.5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</sheetData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49BB-47EF-4798-A401-2486AD0BEFF7}">
  <sheetPr>
    <pageSetUpPr fitToPage="1"/>
  </sheetPr>
  <dimension ref="B1:M49"/>
  <sheetViews>
    <sheetView showGridLines="0" zoomScale="70" zoomScaleNormal="70" workbookViewId="0">
      <selection activeCell="O40" sqref="O40"/>
    </sheetView>
  </sheetViews>
  <sheetFormatPr defaultColWidth="8.5703125" defaultRowHeight="15.75"/>
  <cols>
    <col min="1" max="1" width="2.42578125" style="194" customWidth="1"/>
    <col min="2" max="2" width="22.85546875" style="194" customWidth="1"/>
    <col min="3" max="3" width="23.85546875" style="194" customWidth="1"/>
    <col min="4" max="4" width="24.85546875" style="194" customWidth="1"/>
    <col min="5" max="6" width="17.7109375" style="194" customWidth="1"/>
    <col min="7" max="7" width="19.7109375" style="194" customWidth="1"/>
    <col min="8" max="8" width="13" style="194" customWidth="1"/>
    <col min="9" max="9" width="16.42578125" style="194" customWidth="1"/>
    <col min="10" max="10" width="2.42578125" style="194" customWidth="1"/>
    <col min="11" max="11" width="8.5703125" style="194"/>
    <col min="12" max="12" width="22.5703125" style="194" customWidth="1"/>
    <col min="13" max="13" width="16.5703125" style="194" customWidth="1"/>
    <col min="14" max="16384" width="8.5703125" style="194"/>
  </cols>
  <sheetData>
    <row r="1" spans="2:13" ht="15" customHeight="1">
      <c r="L1" s="195" t="s">
        <v>250</v>
      </c>
    </row>
    <row r="2" spans="2:13" ht="25.5" customHeight="1">
      <c r="B2" s="203" t="str">
        <f>Cover!C12</f>
        <v>My Solar Light Company</v>
      </c>
      <c r="C2" s="202"/>
      <c r="D2" s="202"/>
      <c r="E2" s="202"/>
      <c r="F2" s="202"/>
      <c r="G2" s="202"/>
      <c r="H2" s="202"/>
      <c r="I2" s="202"/>
    </row>
    <row r="3" spans="2:13" ht="19.5" customHeight="1">
      <c r="B3" s="202"/>
      <c r="C3" s="202"/>
      <c r="D3" s="202"/>
      <c r="E3" s="202"/>
      <c r="F3" s="202"/>
      <c r="G3" s="202"/>
      <c r="H3" s="202"/>
      <c r="I3" s="202"/>
      <c r="L3" s="196" t="s">
        <v>251</v>
      </c>
    </row>
    <row r="4" spans="2:13" ht="18" customHeight="1">
      <c r="B4" s="215" t="str">
        <f ca="1">"Single-Site Solar Mini-Grid — FY"&amp;Model!H2&amp;" Performance Dashboard (₦)"</f>
        <v>Single-Site Solar Mini-Grid — FY2026 Performance Dashboard (₦)</v>
      </c>
      <c r="C4" s="215"/>
      <c r="D4" s="215"/>
      <c r="E4" s="215"/>
      <c r="F4" s="215"/>
      <c r="G4" s="215"/>
      <c r="H4" s="215"/>
      <c r="I4" s="215"/>
      <c r="L4" s="204" t="s">
        <v>114</v>
      </c>
      <c r="M4" s="197">
        <f>Model!H107</f>
        <v>1902800880</v>
      </c>
    </row>
    <row r="5" spans="2:13" ht="15" customHeight="1">
      <c r="L5" s="204" t="s">
        <v>117</v>
      </c>
      <c r="M5" s="197">
        <f>Model!H14</f>
        <v>1710572871.2</v>
      </c>
    </row>
    <row r="6" spans="2:13" ht="15.75" customHeight="1" thickBot="1">
      <c r="B6" s="216" t="s">
        <v>252</v>
      </c>
      <c r="C6" s="216"/>
      <c r="D6" s="216"/>
      <c r="E6" s="216"/>
      <c r="F6" s="216"/>
      <c r="G6" s="216"/>
      <c r="H6" s="216"/>
      <c r="I6" s="216"/>
      <c r="L6" s="204" t="s">
        <v>107</v>
      </c>
      <c r="M6" s="197">
        <f>Model!H16</f>
        <v>1183496109.2952383</v>
      </c>
    </row>
    <row r="7" spans="2:13" ht="15.75" customHeight="1" thickTop="1">
      <c r="B7" s="217" t="s">
        <v>114</v>
      </c>
      <c r="C7" s="217"/>
      <c r="D7" s="217" t="s">
        <v>117</v>
      </c>
      <c r="E7" s="217"/>
      <c r="F7" s="217" t="s">
        <v>108</v>
      </c>
      <c r="G7" s="217"/>
      <c r="H7" s="217" t="s">
        <v>253</v>
      </c>
      <c r="I7" s="217"/>
      <c r="L7" s="204" t="s">
        <v>108</v>
      </c>
      <c r="M7" s="197">
        <f ca="1">Model!H20</f>
        <v>369668597.67929113</v>
      </c>
    </row>
    <row r="8" spans="2:13" ht="25.5" customHeight="1">
      <c r="B8" s="220">
        <f>Model!H10</f>
        <v>1902800880</v>
      </c>
      <c r="C8" s="220"/>
      <c r="D8" s="220">
        <f>Model!H14</f>
        <v>1710572871.2</v>
      </c>
      <c r="E8" s="220"/>
      <c r="F8" s="220">
        <f ca="1">Model!H20</f>
        <v>369668597.67929113</v>
      </c>
      <c r="G8" s="220"/>
      <c r="H8" s="221">
        <f ca="1">Model!H263</f>
        <v>1.8406991576541034</v>
      </c>
      <c r="I8" s="221"/>
      <c r="L8" s="204"/>
    </row>
    <row r="9" spans="2:13" ht="13.5" customHeight="1">
      <c r="B9" s="222" t="s">
        <v>254</v>
      </c>
      <c r="C9" s="222"/>
      <c r="D9" s="222" t="str">
        <f>TEXT(Model!H14/Model!H10,"0.0%")&amp;" margin"</f>
        <v>89.9% margin</v>
      </c>
      <c r="E9" s="222"/>
      <c r="F9" s="222" t="str">
        <f ca="1">TEXT(Model!H20/Model!H10,"0.0%")&amp;" margin"</f>
        <v>19.4% margin</v>
      </c>
      <c r="G9" s="222"/>
      <c r="H9" s="222" t="s">
        <v>255</v>
      </c>
      <c r="I9" s="222"/>
      <c r="L9" s="205" t="s">
        <v>256</v>
      </c>
    </row>
    <row r="10" spans="2:13" ht="15" customHeight="1">
      <c r="L10" s="204" t="s">
        <v>257</v>
      </c>
      <c r="M10" s="197">
        <f>Model!H190</f>
        <v>3719999999.9999995</v>
      </c>
    </row>
    <row r="11" spans="2:13" ht="15.75" customHeight="1" thickBot="1">
      <c r="B11" s="216" t="s">
        <v>258</v>
      </c>
      <c r="C11" s="216"/>
      <c r="D11" s="216"/>
      <c r="E11" s="216"/>
      <c r="F11" s="216"/>
      <c r="G11" s="216"/>
      <c r="H11" s="216"/>
      <c r="I11" s="216"/>
      <c r="L11" s="204" t="s">
        <v>259</v>
      </c>
      <c r="M11" s="197">
        <f>Model!H200</f>
        <v>2480000000</v>
      </c>
    </row>
    <row r="12" spans="2:13" ht="24" customHeight="1" thickTop="1">
      <c r="B12" s="198" t="s">
        <v>3</v>
      </c>
      <c r="C12" s="198" t="s">
        <v>260</v>
      </c>
      <c r="D12" s="198" t="s">
        <v>9</v>
      </c>
      <c r="E12" s="198" t="s">
        <v>261</v>
      </c>
      <c r="F12" s="198" t="s">
        <v>262</v>
      </c>
      <c r="G12" s="198" t="s">
        <v>13</v>
      </c>
      <c r="H12" s="198" t="s">
        <v>14</v>
      </c>
      <c r="I12" s="198" t="s">
        <v>263</v>
      </c>
      <c r="L12" s="204"/>
    </row>
    <row r="13" spans="2:13" ht="18" customHeight="1">
      <c r="B13" s="199" t="str">
        <f>Assumptions!E5&amp;" MW"</f>
        <v>5 MW</v>
      </c>
      <c r="C13" s="199" t="str">
        <f>TEXT(Assumptions!E10,"#,##0")&amp;" MWh"</f>
        <v>9,636 MWh</v>
      </c>
      <c r="D13" s="199" t="str">
        <f>TEXT(Assumptions!E26,"#,##0")</f>
        <v>4,500</v>
      </c>
      <c r="E13" s="199" t="str">
        <f>TEXT(Assumptions!E31,"0.0")&amp;"bn"</f>
        <v>6.2bn</v>
      </c>
      <c r="F13" s="199" t="str">
        <f>TEXT(Assumptions!E32,"0%")&amp;" : "&amp;TEXT(Assumptions!E33,"0%")</f>
        <v>60% : 40%</v>
      </c>
      <c r="G13" s="199" t="str">
        <f>TEXT(Assumptions!E34,"0%")</f>
        <v>18%</v>
      </c>
      <c r="H13" s="199" t="str">
        <f>Assumptions!E35&amp;" yrs"</f>
        <v>10 yrs</v>
      </c>
      <c r="I13" s="199" t="str">
        <f>Assumptions!E25&amp;" ₦/kWh"</f>
        <v>180 ₦/kWh</v>
      </c>
      <c r="L13" s="205" t="s">
        <v>264</v>
      </c>
    </row>
    <row r="14" spans="2:13" ht="15" customHeight="1">
      <c r="L14" s="204" t="s">
        <v>265</v>
      </c>
      <c r="M14" s="200">
        <f>(Model!H40+Model!H43)/Model!H14</f>
        <v>2.0822530242580211</v>
      </c>
    </row>
    <row r="15" spans="2:13" ht="15.75" customHeight="1">
      <c r="B15" s="218" t="s">
        <v>266</v>
      </c>
      <c r="C15" s="218"/>
      <c r="D15" s="218"/>
      <c r="E15" s="218"/>
      <c r="F15" s="218"/>
      <c r="G15" s="218"/>
      <c r="H15" s="218"/>
      <c r="I15" s="218"/>
      <c r="L15" s="204" t="s">
        <v>267</v>
      </c>
      <c r="M15" s="201">
        <f ca="1">(Model!H40+Model!H43)/(Model!H40+Model!H43+Model!H50)</f>
        <v>0.55553890406649709</v>
      </c>
    </row>
    <row r="16" spans="2:13">
      <c r="L16" s="204"/>
    </row>
    <row r="49" spans="2:9" ht="24" customHeight="1">
      <c r="B49" s="219"/>
      <c r="C49" s="219"/>
      <c r="D49" s="219"/>
      <c r="E49" s="219"/>
      <c r="F49" s="219"/>
      <c r="G49" s="219"/>
      <c r="H49" s="219"/>
      <c r="I49" s="219"/>
    </row>
  </sheetData>
  <mergeCells count="17">
    <mergeCell ref="B11:I11"/>
    <mergeCell ref="B15:I15"/>
    <mergeCell ref="B49:I49"/>
    <mergeCell ref="B8:C8"/>
    <mergeCell ref="D8:E8"/>
    <mergeCell ref="F8:G8"/>
    <mergeCell ref="H8:I8"/>
    <mergeCell ref="B9:C9"/>
    <mergeCell ref="D9:E9"/>
    <mergeCell ref="F9:G9"/>
    <mergeCell ref="H9:I9"/>
    <mergeCell ref="B4:I4"/>
    <mergeCell ref="B6:I6"/>
    <mergeCell ref="B7:C7"/>
    <mergeCell ref="D7:E7"/>
    <mergeCell ref="F7:G7"/>
    <mergeCell ref="H7:I7"/>
  </mergeCells>
  <pageMargins left="0.75" right="0.75" top="1" bottom="1" header="0.511811023622047" footer="0.511811023622047"/>
  <pageSetup paperSize="9" scale="56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CD93-180E-4A99-9862-A5D8B430BFB0}">
  <dimension ref="A2:J51"/>
  <sheetViews>
    <sheetView showGridLines="0" tabSelected="1" zoomScale="70" zoomScaleNormal="70" zoomScaleSheetLayoutView="70" workbookViewId="0">
      <selection activeCell="G2" sqref="G2"/>
    </sheetView>
  </sheetViews>
  <sheetFormatPr defaultRowHeight="15.75"/>
  <cols>
    <col min="1" max="1" width="6.28515625" style="2" customWidth="1"/>
    <col min="2" max="2" width="49.7109375" style="2" customWidth="1"/>
    <col min="3" max="3" width="28.42578125" style="2" customWidth="1"/>
    <col min="4" max="4" width="29.140625" style="2" customWidth="1"/>
    <col min="5" max="5" width="32.5703125" style="2" customWidth="1"/>
    <col min="6" max="6" width="12.42578125" style="14" customWidth="1"/>
    <col min="7" max="7" width="12.28515625" style="2" customWidth="1"/>
    <col min="8" max="8" width="44.5703125" style="2" customWidth="1"/>
    <col min="9" max="9" width="55.28515625" style="2" customWidth="1"/>
    <col min="10" max="10" width="14.85546875" style="2" customWidth="1"/>
    <col min="11" max="16384" width="9.140625" style="2"/>
  </cols>
  <sheetData>
    <row r="2" spans="1:9" ht="21.75" thickBot="1">
      <c r="A2" s="167" t="s">
        <v>125</v>
      </c>
      <c r="B2" s="27"/>
      <c r="C2" s="27"/>
      <c r="D2" s="27"/>
      <c r="E2" s="27"/>
    </row>
    <row r="3" spans="1:9">
      <c r="B3" s="34"/>
    </row>
    <row r="4" spans="1:9">
      <c r="B4" s="170" t="s">
        <v>50</v>
      </c>
      <c r="C4" s="171"/>
      <c r="D4" s="171"/>
      <c r="E4" s="172" t="s">
        <v>2</v>
      </c>
      <c r="F4" s="15"/>
      <c r="G4" s="1"/>
      <c r="H4" s="18" t="s">
        <v>78</v>
      </c>
      <c r="I4" s="19" t="s">
        <v>2</v>
      </c>
    </row>
    <row r="5" spans="1:9">
      <c r="B5" s="20" t="s">
        <v>3</v>
      </c>
      <c r="C5" s="4"/>
      <c r="D5" s="4"/>
      <c r="E5" s="35">
        <v>5</v>
      </c>
      <c r="H5" s="16" t="s">
        <v>70</v>
      </c>
      <c r="I5" s="186" t="s">
        <v>4</v>
      </c>
    </row>
    <row r="6" spans="1:9">
      <c r="B6" s="20" t="s">
        <v>5</v>
      </c>
      <c r="C6" s="4"/>
      <c r="D6" s="4"/>
      <c r="E6" s="36">
        <v>365</v>
      </c>
      <c r="H6" s="16" t="s">
        <v>71</v>
      </c>
      <c r="I6" s="186" t="s">
        <v>72</v>
      </c>
    </row>
    <row r="7" spans="1:9">
      <c r="B7" s="20" t="s">
        <v>6</v>
      </c>
      <c r="C7" s="4"/>
      <c r="D7" s="4"/>
      <c r="E7" s="37">
        <v>0.22</v>
      </c>
      <c r="H7" s="16" t="s">
        <v>39</v>
      </c>
      <c r="I7" s="187">
        <v>0.218</v>
      </c>
    </row>
    <row r="8" spans="1:9">
      <c r="B8" s="31" t="s">
        <v>37</v>
      </c>
      <c r="E8" s="38">
        <v>0.05</v>
      </c>
      <c r="H8" s="16" t="s">
        <v>73</v>
      </c>
      <c r="I8" s="186" t="s">
        <v>74</v>
      </c>
    </row>
    <row r="9" spans="1:9">
      <c r="B9" s="31" t="s">
        <v>38</v>
      </c>
      <c r="E9" s="38">
        <v>0.98</v>
      </c>
      <c r="H9" s="16" t="s">
        <v>75</v>
      </c>
      <c r="I9" s="187">
        <v>0.98499999999999999</v>
      </c>
    </row>
    <row r="10" spans="1:9">
      <c r="B10" s="20" t="s">
        <v>7</v>
      </c>
      <c r="C10" s="4"/>
      <c r="D10" s="4"/>
      <c r="E10" s="39">
        <v>9636</v>
      </c>
      <c r="H10" s="16" t="s">
        <v>40</v>
      </c>
      <c r="I10" s="188">
        <v>0.22</v>
      </c>
    </row>
    <row r="11" spans="1:9">
      <c r="B11" s="20" t="s">
        <v>53</v>
      </c>
      <c r="C11" s="4"/>
      <c r="D11" s="4"/>
      <c r="E11" s="40">
        <v>6.0000000000000001E-3</v>
      </c>
      <c r="H11" s="16" t="s">
        <v>76</v>
      </c>
      <c r="I11" s="188">
        <v>0.05</v>
      </c>
    </row>
    <row r="12" spans="1:9">
      <c r="B12" s="20" t="s">
        <v>127</v>
      </c>
      <c r="C12" s="4"/>
      <c r="D12" s="4"/>
      <c r="E12" s="41">
        <v>25</v>
      </c>
      <c r="H12" s="17" t="s">
        <v>7</v>
      </c>
      <c r="I12" s="189" t="s">
        <v>77</v>
      </c>
    </row>
    <row r="13" spans="1:9">
      <c r="B13" s="20" t="s">
        <v>68</v>
      </c>
      <c r="C13" s="4"/>
      <c r="D13" s="4"/>
      <c r="E13" s="42">
        <v>6</v>
      </c>
    </row>
    <row r="14" spans="1:9">
      <c r="B14" s="20" t="s">
        <v>69</v>
      </c>
      <c r="C14" s="4"/>
      <c r="D14" s="4"/>
      <c r="E14" s="42">
        <v>5</v>
      </c>
    </row>
    <row r="15" spans="1:9">
      <c r="B15" s="32" t="s">
        <v>116</v>
      </c>
      <c r="C15" s="28"/>
      <c r="D15" s="4"/>
      <c r="E15" s="64">
        <v>0.01</v>
      </c>
    </row>
    <row r="16" spans="1:9">
      <c r="B16" s="32" t="s">
        <v>103</v>
      </c>
      <c r="C16" s="28"/>
      <c r="E16" s="43">
        <v>30</v>
      </c>
    </row>
    <row r="17" spans="2:10">
      <c r="B17" s="32" t="s">
        <v>104</v>
      </c>
      <c r="C17" s="28"/>
      <c r="E17" s="43">
        <v>45</v>
      </c>
      <c r="H17" s="182" t="s">
        <v>17</v>
      </c>
      <c r="I17" s="183"/>
      <c r="J17" s="184"/>
    </row>
    <row r="18" spans="2:10">
      <c r="B18" s="32" t="s">
        <v>100</v>
      </c>
      <c r="C18" s="28"/>
      <c r="E18" s="44" t="s">
        <v>105</v>
      </c>
      <c r="H18" s="20" t="s">
        <v>18</v>
      </c>
      <c r="I18" s="4" t="s">
        <v>19</v>
      </c>
      <c r="J18" s="23"/>
    </row>
    <row r="19" spans="2:10">
      <c r="B19" s="45" t="s">
        <v>110</v>
      </c>
      <c r="C19" s="33"/>
      <c r="D19" s="33"/>
      <c r="E19" s="46" t="s">
        <v>111</v>
      </c>
      <c r="H19" s="20" t="s">
        <v>20</v>
      </c>
      <c r="I19" s="4" t="s">
        <v>21</v>
      </c>
      <c r="J19" s="23"/>
    </row>
    <row r="20" spans="2:10">
      <c r="B20" s="4"/>
      <c r="C20" s="4"/>
      <c r="D20" s="7"/>
      <c r="H20" s="20" t="s">
        <v>22</v>
      </c>
      <c r="I20" s="4" t="s">
        <v>23</v>
      </c>
      <c r="J20" s="23"/>
    </row>
    <row r="21" spans="2:10">
      <c r="B21" s="1" t="s">
        <v>62</v>
      </c>
      <c r="C21" s="1"/>
      <c r="D21" s="7"/>
      <c r="H21" s="20" t="s">
        <v>24</v>
      </c>
      <c r="I21" s="4" t="s">
        <v>25</v>
      </c>
      <c r="J21" s="23"/>
    </row>
    <row r="22" spans="2:10">
      <c r="B22" s="2" t="s">
        <v>63</v>
      </c>
      <c r="D22" s="8"/>
      <c r="H22" s="20" t="s">
        <v>39</v>
      </c>
      <c r="I22" s="4" t="s">
        <v>92</v>
      </c>
      <c r="J22" s="23"/>
    </row>
    <row r="23" spans="2:10">
      <c r="D23" s="8"/>
      <c r="H23" s="20" t="s">
        <v>40</v>
      </c>
      <c r="I23" s="4" t="s">
        <v>91</v>
      </c>
      <c r="J23" s="23"/>
    </row>
    <row r="24" spans="2:10">
      <c r="B24" s="173" t="s">
        <v>51</v>
      </c>
      <c r="C24" s="174"/>
      <c r="D24" s="174"/>
      <c r="E24" s="175" t="s">
        <v>2</v>
      </c>
      <c r="H24" s="20"/>
      <c r="I24" s="4" t="s">
        <v>41</v>
      </c>
      <c r="J24" s="23"/>
    </row>
    <row r="25" spans="2:10">
      <c r="B25" s="3" t="s">
        <v>54</v>
      </c>
      <c r="C25" s="4"/>
      <c r="D25" s="4"/>
      <c r="E25" s="9">
        <v>180</v>
      </c>
      <c r="H25" s="21" t="s">
        <v>43</v>
      </c>
      <c r="I25" s="22" t="s">
        <v>42</v>
      </c>
      <c r="J25" s="24"/>
    </row>
    <row r="26" spans="2:10">
      <c r="B26" s="3" t="s">
        <v>9</v>
      </c>
      <c r="C26" s="4"/>
      <c r="D26" s="4"/>
      <c r="E26" s="10">
        <v>4500</v>
      </c>
    </row>
    <row r="27" spans="2:10">
      <c r="B27" s="3" t="s">
        <v>55</v>
      </c>
      <c r="C27" s="4"/>
      <c r="D27" s="4"/>
      <c r="E27" s="11">
        <v>2000</v>
      </c>
    </row>
    <row r="28" spans="2:10">
      <c r="B28" s="5" t="s">
        <v>56</v>
      </c>
      <c r="C28" s="6"/>
      <c r="D28" s="6"/>
      <c r="E28" s="12">
        <v>40000</v>
      </c>
    </row>
    <row r="29" spans="2:10">
      <c r="B29" s="4"/>
      <c r="C29" s="4"/>
      <c r="D29" s="4"/>
      <c r="E29" s="13"/>
    </row>
    <row r="30" spans="2:10">
      <c r="B30" s="179" t="s">
        <v>52</v>
      </c>
      <c r="C30" s="180"/>
      <c r="D30" s="180"/>
      <c r="E30" s="181" t="s">
        <v>2</v>
      </c>
    </row>
    <row r="31" spans="2:10">
      <c r="B31" s="29" t="s">
        <v>57</v>
      </c>
      <c r="C31" s="30"/>
      <c r="D31" s="30"/>
      <c r="E31" s="49">
        <v>6.2</v>
      </c>
    </row>
    <row r="32" spans="2:10">
      <c r="B32" s="20" t="s">
        <v>11</v>
      </c>
      <c r="C32" s="4"/>
      <c r="D32" s="4"/>
      <c r="E32" s="54">
        <v>0.6</v>
      </c>
    </row>
    <row r="33" spans="2:5">
      <c r="B33" s="20" t="s">
        <v>12</v>
      </c>
      <c r="C33" s="4"/>
      <c r="D33" s="4"/>
      <c r="E33" s="54">
        <v>0.4</v>
      </c>
    </row>
    <row r="34" spans="2:5">
      <c r="B34" s="20" t="s">
        <v>13</v>
      </c>
      <c r="C34" s="4"/>
      <c r="D34" s="4"/>
      <c r="E34" s="37">
        <v>0.18</v>
      </c>
    </row>
    <row r="35" spans="2:5">
      <c r="B35" s="20" t="s">
        <v>14</v>
      </c>
      <c r="C35" s="4"/>
      <c r="D35" s="4"/>
      <c r="E35" s="47">
        <v>10</v>
      </c>
    </row>
    <row r="36" spans="2:5">
      <c r="B36" s="32" t="s">
        <v>113</v>
      </c>
      <c r="C36" s="65"/>
      <c r="E36" s="48" t="s">
        <v>208</v>
      </c>
    </row>
    <row r="37" spans="2:5">
      <c r="B37" s="32" t="s">
        <v>134</v>
      </c>
      <c r="C37" s="28"/>
      <c r="D37" s="28"/>
      <c r="E37" s="66">
        <v>0.02</v>
      </c>
    </row>
    <row r="38" spans="2:5">
      <c r="B38" s="21" t="s">
        <v>227</v>
      </c>
      <c r="C38" s="22"/>
      <c r="D38" s="22"/>
      <c r="E38" s="50">
        <v>0.3</v>
      </c>
    </row>
    <row r="40" spans="2:5">
      <c r="B40" s="176" t="s">
        <v>90</v>
      </c>
      <c r="C40" s="171" t="s">
        <v>79</v>
      </c>
      <c r="D40" s="177" t="s">
        <v>89</v>
      </c>
      <c r="E40" s="178" t="s">
        <v>86</v>
      </c>
    </row>
    <row r="41" spans="2:5">
      <c r="B41" s="20" t="s">
        <v>80</v>
      </c>
      <c r="C41" s="53">
        <v>0.3</v>
      </c>
      <c r="D41" s="52">
        <v>20</v>
      </c>
      <c r="E41" s="54">
        <v>0.2</v>
      </c>
    </row>
    <row r="42" spans="2:5">
      <c r="B42" s="20" t="s">
        <v>93</v>
      </c>
      <c r="C42" s="53">
        <v>0.23</v>
      </c>
      <c r="D42" s="52">
        <v>7</v>
      </c>
      <c r="E42" s="54">
        <v>0.25</v>
      </c>
    </row>
    <row r="43" spans="2:5">
      <c r="B43" s="20" t="s">
        <v>26</v>
      </c>
      <c r="C43" s="53">
        <v>0.08</v>
      </c>
      <c r="D43" s="52">
        <v>10</v>
      </c>
      <c r="E43" s="54">
        <v>0.18</v>
      </c>
    </row>
    <row r="44" spans="2:5">
      <c r="B44" s="20" t="s">
        <v>81</v>
      </c>
      <c r="C44" s="53">
        <v>0.05</v>
      </c>
      <c r="D44" s="52">
        <v>20</v>
      </c>
      <c r="E44" s="54">
        <v>0.12</v>
      </c>
    </row>
    <row r="45" spans="2:5">
      <c r="B45" s="20" t="s">
        <v>27</v>
      </c>
      <c r="C45" s="53">
        <v>0.04</v>
      </c>
      <c r="D45" s="52">
        <v>15</v>
      </c>
      <c r="E45" s="54">
        <v>0.05</v>
      </c>
    </row>
    <row r="46" spans="2:5">
      <c r="B46" s="20" t="s">
        <v>28</v>
      </c>
      <c r="C46" s="53">
        <v>0.13</v>
      </c>
      <c r="D46" s="52">
        <v>20</v>
      </c>
      <c r="E46" s="54">
        <v>0.15</v>
      </c>
    </row>
    <row r="47" spans="2:5">
      <c r="B47" s="20" t="s">
        <v>85</v>
      </c>
      <c r="C47" s="53">
        <v>0.1</v>
      </c>
      <c r="D47" s="52">
        <v>20</v>
      </c>
      <c r="E47" s="54">
        <v>0.05</v>
      </c>
    </row>
    <row r="48" spans="2:5">
      <c r="B48" s="20" t="s">
        <v>29</v>
      </c>
      <c r="C48" s="53">
        <v>0.02</v>
      </c>
      <c r="D48" s="52">
        <v>3</v>
      </c>
      <c r="E48" s="54">
        <v>0</v>
      </c>
    </row>
    <row r="49" spans="2:6">
      <c r="B49" s="20" t="s">
        <v>82</v>
      </c>
      <c r="C49" s="53">
        <v>0.01</v>
      </c>
      <c r="D49" s="52">
        <v>4</v>
      </c>
      <c r="E49" s="54">
        <v>0</v>
      </c>
      <c r="F49" s="51"/>
    </row>
    <row r="50" spans="2:6">
      <c r="B50" s="20" t="s">
        <v>83</v>
      </c>
      <c r="C50" s="53">
        <v>0.04</v>
      </c>
      <c r="D50" s="52" t="s">
        <v>84</v>
      </c>
      <c r="E50" s="23"/>
      <c r="F50" s="51"/>
    </row>
    <row r="51" spans="2:6">
      <c r="B51" s="55" t="s">
        <v>15</v>
      </c>
      <c r="C51" s="158"/>
      <c r="D51" s="56"/>
      <c r="E51" s="57" t="s">
        <v>0</v>
      </c>
      <c r="F51" s="52"/>
    </row>
  </sheetData>
  <printOptions horizontalCentered="1"/>
  <pageMargins left="0.7" right="0.7" top="0.75" bottom="0.75" header="0.3" footer="0.3"/>
  <pageSetup scale="61" orientation="landscape" r:id="rId1"/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23DC-8CB2-4759-83E7-4AB44D9F78B3}">
  <dimension ref="A1:L289"/>
  <sheetViews>
    <sheetView showGridLines="0" zoomScale="70" zoomScaleNormal="70" zoomScaleSheetLayoutView="70" workbookViewId="0">
      <selection activeCell="I3" sqref="I3"/>
    </sheetView>
  </sheetViews>
  <sheetFormatPr defaultRowHeight="18.75" customHeight="1" outlineLevelRow="2"/>
  <cols>
    <col min="1" max="1" width="7.5703125" style="61" customWidth="1"/>
    <col min="2" max="2" width="25.7109375" style="61" customWidth="1"/>
    <col min="3" max="3" width="22.85546875" style="61" customWidth="1"/>
    <col min="4" max="6" width="24.7109375" style="61" customWidth="1"/>
    <col min="7" max="7" width="19.140625" style="61" customWidth="1"/>
    <col min="8" max="8" width="21.85546875" style="67" customWidth="1"/>
    <col min="9" max="9" width="27.140625" style="61" customWidth="1"/>
    <col min="10" max="10" width="18.5703125" style="61" customWidth="1"/>
    <col min="11" max="11" width="23.5703125" style="61" customWidth="1"/>
    <col min="12" max="12" width="21.140625" style="61" customWidth="1"/>
    <col min="13" max="16384" width="9.140625" style="61"/>
  </cols>
  <sheetData>
    <row r="1" spans="1:8" s="168" customFormat="1" ht="18.75" customHeight="1">
      <c r="A1" s="210" t="s">
        <v>222</v>
      </c>
      <c r="H1" s="169"/>
    </row>
    <row r="2" spans="1:8" ht="18.75" customHeight="1" outlineLevel="1">
      <c r="H2" s="109">
        <f ca="1">YEAR(TODAY())</f>
        <v>2026</v>
      </c>
    </row>
    <row r="3" spans="1:8" ht="18.75" customHeight="1" outlineLevel="1">
      <c r="H3" s="109" t="s">
        <v>36</v>
      </c>
    </row>
    <row r="4" spans="1:8" ht="18.75" customHeight="1" outlineLevel="1" thickBot="1">
      <c r="B4" s="191" t="s">
        <v>164</v>
      </c>
      <c r="C4" s="126"/>
      <c r="D4" s="127"/>
      <c r="E4" s="128"/>
      <c r="F4" s="125"/>
      <c r="G4" s="125"/>
      <c r="H4" s="125"/>
    </row>
    <row r="5" spans="1:8" ht="18.75" customHeight="1" outlineLevel="1">
      <c r="B5" s="58"/>
      <c r="C5" s="58"/>
      <c r="D5" s="59"/>
      <c r="E5" s="60"/>
      <c r="H5" s="61"/>
    </row>
    <row r="6" spans="1:8" ht="18.75" customHeight="1" outlineLevel="1">
      <c r="C6" s="62" t="s">
        <v>114</v>
      </c>
      <c r="E6" s="63"/>
      <c r="H6" s="61"/>
    </row>
    <row r="7" spans="1:8" ht="18.75" customHeight="1" outlineLevel="1">
      <c r="C7" s="62"/>
      <c r="D7" s="61" t="s">
        <v>31</v>
      </c>
      <c r="E7" s="63"/>
      <c r="H7" s="78">
        <f>Model!H92</f>
        <v>1614800880</v>
      </c>
    </row>
    <row r="8" spans="1:8" ht="18.75" customHeight="1" outlineLevel="1">
      <c r="C8" s="62"/>
      <c r="D8" s="61" t="s">
        <v>32</v>
      </c>
      <c r="E8" s="63"/>
      <c r="H8" s="78">
        <f>Model!H98</f>
        <v>180000000</v>
      </c>
    </row>
    <row r="9" spans="1:8" ht="18.75" customHeight="1" outlineLevel="1">
      <c r="C9" s="62"/>
      <c r="D9" s="61" t="s">
        <v>44</v>
      </c>
      <c r="E9" s="63"/>
      <c r="H9" s="78">
        <f>Model!H105</f>
        <v>108000000</v>
      </c>
    </row>
    <row r="10" spans="1:8" ht="18.75" customHeight="1" outlineLevel="1">
      <c r="C10" s="62"/>
      <c r="E10" s="63"/>
      <c r="H10" s="123">
        <f>SUM(H7:H9)</f>
        <v>1902800880</v>
      </c>
    </row>
    <row r="11" spans="1:8" ht="18.75" customHeight="1" outlineLevel="1">
      <c r="C11" s="62" t="s">
        <v>122</v>
      </c>
      <c r="E11" s="63"/>
      <c r="H11" s="78">
        <f>-Model!H123</f>
        <v>-173200000</v>
      </c>
    </row>
    <row r="12" spans="1:8" ht="18.75" customHeight="1" outlineLevel="1">
      <c r="C12" s="62" t="s">
        <v>115</v>
      </c>
      <c r="E12" s="63"/>
      <c r="H12" s="123">
        <f>SUM(H10:H11)</f>
        <v>1729600880</v>
      </c>
    </row>
    <row r="13" spans="1:8" ht="18.75" customHeight="1" outlineLevel="1">
      <c r="C13" s="62" t="s">
        <v>116</v>
      </c>
      <c r="E13" s="63"/>
      <c r="H13" s="150">
        <f>-H127</f>
        <v>-19028008.800000001</v>
      </c>
    </row>
    <row r="14" spans="1:8" ht="18.75" customHeight="1" outlineLevel="1">
      <c r="C14" s="62" t="s">
        <v>117</v>
      </c>
      <c r="H14" s="123">
        <f>SUM(H12:H13)</f>
        <v>1710572871.2</v>
      </c>
    </row>
    <row r="15" spans="1:8" ht="18.75" customHeight="1" outlineLevel="1">
      <c r="C15" s="62" t="s">
        <v>118</v>
      </c>
      <c r="H15" s="78">
        <f>-SUM(Model!C170:K170)</f>
        <v>-527076761.90476185</v>
      </c>
    </row>
    <row r="16" spans="1:8" ht="18.75" customHeight="1" outlineLevel="1">
      <c r="C16" s="62" t="s">
        <v>107</v>
      </c>
      <c r="H16" s="123">
        <f>SUM(H14:H15)</f>
        <v>1183496109.2952383</v>
      </c>
    </row>
    <row r="17" spans="2:8" ht="18.75" customHeight="1" outlineLevel="1">
      <c r="C17" s="62" t="s">
        <v>119</v>
      </c>
      <c r="H17" s="140">
        <f ca="1">-H188</f>
        <v>-655398112.61053669</v>
      </c>
    </row>
    <row r="18" spans="2:8" ht="18.75" customHeight="1" outlineLevel="1">
      <c r="C18" s="62" t="s">
        <v>120</v>
      </c>
      <c r="E18" s="59"/>
      <c r="H18" s="151">
        <f ca="1">SUM(H16:H17)</f>
        <v>528097996.68470156</v>
      </c>
    </row>
    <row r="19" spans="2:8" ht="18.75" customHeight="1" outlineLevel="1">
      <c r="C19" s="62" t="s">
        <v>121</v>
      </c>
      <c r="E19" s="106"/>
      <c r="H19" s="122">
        <f ca="1">-Assumptions!E38*H18</f>
        <v>-158429399.00541046</v>
      </c>
    </row>
    <row r="20" spans="2:8" ht="18.75" customHeight="1" outlineLevel="1">
      <c r="C20" s="62" t="s">
        <v>108</v>
      </c>
      <c r="E20" s="106"/>
      <c r="H20" s="124">
        <f ca="1">SUM(H18:H19)</f>
        <v>369668597.67929113</v>
      </c>
    </row>
    <row r="21" spans="2:8" ht="18.75" customHeight="1" outlineLevel="1">
      <c r="E21" s="106"/>
      <c r="F21" s="63"/>
      <c r="H21" s="61"/>
    </row>
    <row r="22" spans="2:8" ht="18.75" customHeight="1" outlineLevel="1" thickBot="1">
      <c r="B22" s="192" t="s">
        <v>149</v>
      </c>
      <c r="C22" s="125"/>
      <c r="D22" s="125"/>
      <c r="E22" s="125"/>
      <c r="F22" s="125"/>
      <c r="G22" s="125"/>
      <c r="H22" s="125"/>
    </row>
    <row r="23" spans="2:8" ht="18.75" customHeight="1" outlineLevel="1">
      <c r="H23" s="61"/>
    </row>
    <row r="24" spans="2:8" ht="18.75" customHeight="1" outlineLevel="1">
      <c r="C24" s="61" t="s">
        <v>150</v>
      </c>
      <c r="H24" s="61"/>
    </row>
    <row r="25" spans="2:8" ht="18.75" customHeight="1" outlineLevel="1">
      <c r="D25" s="61" t="s">
        <v>98</v>
      </c>
      <c r="H25" s="67">
        <f ca="1">H78</f>
        <v>710094369.47315693</v>
      </c>
    </row>
    <row r="26" spans="2:8" ht="18.75" customHeight="1" outlineLevel="1">
      <c r="D26" s="61" t="s">
        <v>1</v>
      </c>
      <c r="H26" s="67">
        <f>H147</f>
        <v>0</v>
      </c>
    </row>
    <row r="27" spans="2:8" ht="18.75" customHeight="1" outlineLevel="1">
      <c r="D27" s="61" t="s">
        <v>99</v>
      </c>
      <c r="H27" s="67">
        <f>H148</f>
        <v>14235616.438356165</v>
      </c>
    </row>
    <row r="28" spans="2:8" ht="18.75" customHeight="1" outlineLevel="1">
      <c r="D28" s="61" t="s">
        <v>151</v>
      </c>
      <c r="H28" s="67">
        <f>H149</f>
        <v>37200000</v>
      </c>
    </row>
    <row r="29" spans="2:8" ht="18.75" customHeight="1" outlineLevel="1">
      <c r="D29" s="61" t="s">
        <v>152</v>
      </c>
      <c r="H29" s="113">
        <f ca="1">SUM(H25:H28)</f>
        <v>761529985.91151309</v>
      </c>
    </row>
    <row r="30" spans="2:8" ht="18.75" customHeight="1" outlineLevel="1"/>
    <row r="31" spans="2:8" ht="18.75" customHeight="1" outlineLevel="1">
      <c r="D31" s="61" t="s">
        <v>153</v>
      </c>
      <c r="H31" s="67">
        <f>L171</f>
        <v>5672923238.0952377</v>
      </c>
    </row>
    <row r="32" spans="2:8" ht="18.75" customHeight="1" outlineLevel="1">
      <c r="D32" s="61" t="s">
        <v>141</v>
      </c>
      <c r="H32" s="163">
        <v>0</v>
      </c>
    </row>
    <row r="33" spans="3:8" ht="18.75" customHeight="1" outlineLevel="1">
      <c r="D33" s="61" t="s">
        <v>154</v>
      </c>
      <c r="H33" s="113">
        <f>SUM(H31:H32)</f>
        <v>5672923238.0952377</v>
      </c>
    </row>
    <row r="34" spans="3:8" ht="18.75" customHeight="1" outlineLevel="1"/>
    <row r="35" spans="3:8" ht="18.75" customHeight="1" outlineLevel="1" thickBot="1">
      <c r="D35" s="61" t="s">
        <v>155</v>
      </c>
      <c r="H35" s="157">
        <f ca="1">H29+H33</f>
        <v>6434453224.0067511</v>
      </c>
    </row>
    <row r="36" spans="3:8" ht="18.75" customHeight="1" outlineLevel="1"/>
    <row r="37" spans="3:8" ht="18.75" customHeight="1" outlineLevel="1">
      <c r="C37" s="61" t="s">
        <v>156</v>
      </c>
    </row>
    <row r="38" spans="3:8" ht="18.75" customHeight="1" outlineLevel="1">
      <c r="D38" s="61" t="s">
        <v>109</v>
      </c>
      <c r="H38" s="67">
        <f>H150</f>
        <v>21353424.657534245</v>
      </c>
    </row>
    <row r="39" spans="3:8" ht="18.75" customHeight="1" outlineLevel="1">
      <c r="D39" s="61" t="s">
        <v>194</v>
      </c>
      <c r="H39" s="67">
        <f>H151</f>
        <v>1585667.4000000001</v>
      </c>
    </row>
    <row r="40" spans="3:8" ht="18.75" customHeight="1" outlineLevel="1">
      <c r="D40" s="61" t="s">
        <v>192</v>
      </c>
      <c r="H40" s="67">
        <f>H194</f>
        <v>186622269.56148624</v>
      </c>
    </row>
    <row r="41" spans="3:8" ht="18.75" customHeight="1" outlineLevel="1">
      <c r="D41" s="61" t="s">
        <v>157</v>
      </c>
      <c r="H41" s="113">
        <f>SUM(H38:H40)</f>
        <v>209561361.61902049</v>
      </c>
    </row>
    <row r="42" spans="3:8" ht="18.75" customHeight="1" outlineLevel="1"/>
    <row r="43" spans="3:8" ht="18.75" customHeight="1" outlineLevel="1">
      <c r="D43" s="61" t="s">
        <v>193</v>
      </c>
      <c r="H43" s="67">
        <f>H195</f>
        <v>3375223264.7084403</v>
      </c>
    </row>
    <row r="44" spans="3:8" ht="18.75" customHeight="1" outlineLevel="1">
      <c r="D44" s="61" t="s">
        <v>158</v>
      </c>
      <c r="H44" s="113">
        <f>SUM(H43)</f>
        <v>3375223264.7084403</v>
      </c>
    </row>
    <row r="45" spans="3:8" ht="18.75" customHeight="1" outlineLevel="1"/>
    <row r="46" spans="3:8" ht="18.75" customHeight="1" outlineLevel="1">
      <c r="D46" s="61" t="s">
        <v>159</v>
      </c>
      <c r="H46" s="67">
        <f>H41+H44</f>
        <v>3584784626.3274608</v>
      </c>
    </row>
    <row r="47" spans="3:8" ht="18.75" customHeight="1" outlineLevel="1"/>
    <row r="48" spans="3:8" ht="18.75" customHeight="1" outlineLevel="1">
      <c r="D48" s="61" t="s">
        <v>160</v>
      </c>
      <c r="H48" s="67">
        <f>H200</f>
        <v>2480000000</v>
      </c>
    </row>
    <row r="49" spans="2:8" ht="18.75" customHeight="1" outlineLevel="1">
      <c r="D49" s="61" t="s">
        <v>161</v>
      </c>
      <c r="H49" s="67">
        <f ca="1">H20</f>
        <v>369668597.67929113</v>
      </c>
    </row>
    <row r="50" spans="2:8" ht="18.75" customHeight="1" outlineLevel="1">
      <c r="D50" s="61" t="s">
        <v>162</v>
      </c>
      <c r="H50" s="113">
        <f ca="1">SUM(H48:H49)</f>
        <v>2849668597.6792912</v>
      </c>
    </row>
    <row r="51" spans="2:8" ht="18.75" customHeight="1" outlineLevel="1"/>
    <row r="52" spans="2:8" ht="18.75" customHeight="1" outlineLevel="1" thickBot="1">
      <c r="D52" s="61" t="s">
        <v>163</v>
      </c>
      <c r="H52" s="157">
        <f ca="1">H46+H50</f>
        <v>6434453224.006752</v>
      </c>
    </row>
    <row r="53" spans="2:8" ht="18.75" customHeight="1" outlineLevel="1"/>
    <row r="54" spans="2:8" ht="18.75" customHeight="1" outlineLevel="1">
      <c r="C54" s="159" t="s">
        <v>219</v>
      </c>
      <c r="H54" s="166">
        <f ca="1">H35-H52</f>
        <v>0</v>
      </c>
    </row>
    <row r="55" spans="2:8" ht="18.75" customHeight="1" outlineLevel="1"/>
    <row r="56" spans="2:8" ht="18.75" customHeight="1" outlineLevel="1" thickBot="1">
      <c r="B56" s="192" t="s">
        <v>135</v>
      </c>
      <c r="C56" s="125"/>
      <c r="D56" s="125"/>
      <c r="E56" s="125"/>
      <c r="F56" s="125"/>
      <c r="G56" s="125"/>
      <c r="H56" s="157"/>
    </row>
    <row r="57" spans="2:8" ht="18.75" customHeight="1" outlineLevel="1"/>
    <row r="58" spans="2:8" ht="18.75" customHeight="1" outlineLevel="1">
      <c r="C58" s="61" t="s">
        <v>136</v>
      </c>
    </row>
    <row r="59" spans="2:8" ht="18.75" customHeight="1" outlineLevel="1">
      <c r="D59" s="61" t="s">
        <v>108</v>
      </c>
      <c r="H59" s="67">
        <f ca="1">H20</f>
        <v>369668597.67929113</v>
      </c>
    </row>
    <row r="60" spans="2:8" ht="18.75" customHeight="1" outlineLevel="1">
      <c r="D60" s="61" t="s">
        <v>137</v>
      </c>
      <c r="H60" s="67">
        <f>L170</f>
        <v>527076761.90476185</v>
      </c>
    </row>
    <row r="61" spans="2:8" ht="18.75" customHeight="1" outlineLevel="1">
      <c r="D61" s="61" t="s">
        <v>138</v>
      </c>
      <c r="H61" s="67">
        <f>-H152</f>
        <v>-28496524.380821917</v>
      </c>
    </row>
    <row r="62" spans="2:8" ht="18.75" customHeight="1" outlineLevel="1">
      <c r="D62" s="61" t="s">
        <v>132</v>
      </c>
      <c r="H62" s="113">
        <f ca="1">SUM(H59:H61)</f>
        <v>868248835.2032311</v>
      </c>
    </row>
    <row r="63" spans="2:8" ht="18.75" customHeight="1" outlineLevel="1"/>
    <row r="64" spans="2:8" ht="18.75" customHeight="1" outlineLevel="1">
      <c r="C64" s="61" t="s">
        <v>139</v>
      </c>
    </row>
    <row r="65" spans="3:8" ht="18.75" customHeight="1" outlineLevel="1">
      <c r="D65" s="61" t="s">
        <v>140</v>
      </c>
      <c r="H65" s="67">
        <f>-L168</f>
        <v>-6200000000</v>
      </c>
    </row>
    <row r="66" spans="3:8" ht="18.75" customHeight="1" outlineLevel="1">
      <c r="D66" s="61" t="s">
        <v>141</v>
      </c>
    </row>
    <row r="67" spans="3:8" ht="18.75" customHeight="1" outlineLevel="1">
      <c r="D67" s="61" t="s">
        <v>133</v>
      </c>
      <c r="H67" s="113">
        <f>SUM(H65:H66)</f>
        <v>-6200000000</v>
      </c>
    </row>
    <row r="68" spans="3:8" ht="18.75" customHeight="1" outlineLevel="1"/>
    <row r="69" spans="3:8" ht="18.75" customHeight="1" outlineLevel="1"/>
    <row r="70" spans="3:8" ht="18.75" customHeight="1" outlineLevel="1">
      <c r="C70" s="61" t="s">
        <v>142</v>
      </c>
    </row>
    <row r="71" spans="3:8" ht="18.75" customHeight="1" outlineLevel="1">
      <c r="D71" s="61" t="s">
        <v>143</v>
      </c>
      <c r="H71" s="67">
        <f>H192</f>
        <v>3561845534.2699265</v>
      </c>
    </row>
    <row r="72" spans="3:8" ht="18.75" customHeight="1" outlineLevel="1">
      <c r="D72" s="61" t="s">
        <v>144</v>
      </c>
      <c r="H72" s="67">
        <f>H200</f>
        <v>2480000000</v>
      </c>
    </row>
    <row r="73" spans="3:8" ht="18.75" customHeight="1" outlineLevel="1">
      <c r="D73" s="61" t="s">
        <v>145</v>
      </c>
      <c r="H73" s="113">
        <f>SUM(H71:H72)</f>
        <v>6041845534.2699261</v>
      </c>
    </row>
    <row r="74" spans="3:8" ht="18.75" customHeight="1" outlineLevel="1"/>
    <row r="75" spans="3:8" ht="18.75" customHeight="1" outlineLevel="1"/>
    <row r="76" spans="3:8" ht="18.75" customHeight="1" outlineLevel="1">
      <c r="C76" s="61" t="s">
        <v>146</v>
      </c>
      <c r="H76" s="67">
        <f ca="1">H62+H67+H73</f>
        <v>710094369.47315693</v>
      </c>
    </row>
    <row r="77" spans="3:8" ht="18.75" customHeight="1" outlineLevel="1">
      <c r="C77" s="61" t="s">
        <v>147</v>
      </c>
      <c r="H77" s="78">
        <f>H181</f>
        <v>0</v>
      </c>
    </row>
    <row r="78" spans="3:8" ht="18.75" customHeight="1" outlineLevel="1">
      <c r="C78" s="61" t="s">
        <v>148</v>
      </c>
      <c r="H78" s="113">
        <f ca="1">SUM(H76:H77)</f>
        <v>710094369.47315693</v>
      </c>
    </row>
    <row r="79" spans="3:8" ht="18.75" customHeight="1" outlineLevel="1"/>
    <row r="81" spans="1:8" s="168" customFormat="1" ht="18.75" customHeight="1">
      <c r="A81" s="210" t="s">
        <v>221</v>
      </c>
    </row>
    <row r="82" spans="1:8" ht="18.75" customHeight="1" outlineLevel="2">
      <c r="B82" s="68" t="s">
        <v>30</v>
      </c>
      <c r="C82" s="69"/>
      <c r="D82" s="69"/>
      <c r="E82" s="69"/>
      <c r="F82" s="70"/>
      <c r="G82" s="69"/>
      <c r="H82" s="71"/>
    </row>
    <row r="83" spans="1:8" ht="18.75" customHeight="1" outlineLevel="2" thickBot="1">
      <c r="B83" s="72"/>
      <c r="C83" s="73"/>
      <c r="D83" s="73"/>
      <c r="E83" s="73"/>
      <c r="F83" s="74"/>
      <c r="G83" s="73"/>
      <c r="H83" s="75"/>
    </row>
    <row r="84" spans="1:8" ht="18.75" customHeight="1" outlineLevel="2">
      <c r="B84" s="69"/>
      <c r="C84" s="69"/>
      <c r="D84" s="69"/>
      <c r="E84" s="69"/>
      <c r="F84" s="70"/>
      <c r="G84" s="69"/>
      <c r="H84" s="71"/>
    </row>
    <row r="85" spans="1:8" ht="18.75" customHeight="1" outlineLevel="2">
      <c r="B85" s="76" t="s">
        <v>31</v>
      </c>
      <c r="C85" s="77"/>
      <c r="D85" s="77"/>
      <c r="E85" s="77"/>
      <c r="F85" s="77"/>
      <c r="G85" s="77"/>
      <c r="H85" s="78"/>
    </row>
    <row r="86" spans="1:8" ht="18.75" customHeight="1" outlineLevel="2">
      <c r="B86" s="77"/>
      <c r="C86" s="77" t="s">
        <v>33</v>
      </c>
      <c r="D86" s="77"/>
      <c r="E86" s="77"/>
      <c r="F86" s="79" t="s">
        <v>58</v>
      </c>
      <c r="G86" s="77"/>
      <c r="H86" s="80">
        <f>Assumptions!E10</f>
        <v>9636</v>
      </c>
    </row>
    <row r="87" spans="1:8" ht="18.75" customHeight="1" outlineLevel="2">
      <c r="B87" s="77"/>
      <c r="C87" s="77" t="s">
        <v>97</v>
      </c>
      <c r="D87" s="77"/>
      <c r="E87" s="77"/>
      <c r="F87" s="77"/>
      <c r="G87" s="77"/>
      <c r="H87" s="81">
        <f>Assumptions!E8</f>
        <v>0.05</v>
      </c>
    </row>
    <row r="88" spans="1:8" ht="18.75" customHeight="1" outlineLevel="2">
      <c r="B88" s="77"/>
      <c r="C88" s="82" t="s">
        <v>34</v>
      </c>
      <c r="D88" s="77"/>
      <c r="E88" s="77"/>
      <c r="F88" s="83" t="s">
        <v>16</v>
      </c>
      <c r="G88" s="77"/>
      <c r="H88" s="84">
        <f>H86*1000*(1-H87)</f>
        <v>9154200</v>
      </c>
    </row>
    <row r="89" spans="1:8" ht="18.75" customHeight="1" outlineLevel="2">
      <c r="B89" s="77"/>
      <c r="C89" s="85"/>
      <c r="D89" s="77"/>
      <c r="E89" s="77"/>
      <c r="F89" s="83"/>
      <c r="G89" s="77"/>
      <c r="H89" s="84"/>
    </row>
    <row r="90" spans="1:8" ht="18.75" customHeight="1" outlineLevel="2">
      <c r="B90" s="77"/>
      <c r="C90" s="83" t="s">
        <v>8</v>
      </c>
      <c r="D90" s="77"/>
      <c r="E90" s="77"/>
      <c r="F90" s="83" t="s">
        <v>64</v>
      </c>
      <c r="G90" s="77"/>
      <c r="H90" s="86">
        <f>Assumptions!E25</f>
        <v>180</v>
      </c>
    </row>
    <row r="91" spans="1:8" ht="18.75" customHeight="1" outlineLevel="2">
      <c r="B91" s="77"/>
      <c r="C91" s="83" t="s">
        <v>38</v>
      </c>
      <c r="D91" s="77"/>
      <c r="E91" s="77"/>
      <c r="F91" s="83"/>
      <c r="G91" s="77"/>
      <c r="H91" s="87">
        <f>Assumptions!E9</f>
        <v>0.98</v>
      </c>
    </row>
    <row r="92" spans="1:8" ht="18.75" customHeight="1" outlineLevel="2">
      <c r="B92" s="77"/>
      <c r="C92" s="85" t="s">
        <v>35</v>
      </c>
      <c r="D92" s="77"/>
      <c r="E92" s="77"/>
      <c r="F92" s="83" t="s">
        <v>36</v>
      </c>
      <c r="G92" s="77"/>
      <c r="H92" s="84">
        <f>H88*H90*H91</f>
        <v>1614800880</v>
      </c>
    </row>
    <row r="93" spans="1:8" ht="18.75" customHeight="1" outlineLevel="2">
      <c r="B93" s="88"/>
      <c r="C93" s="89"/>
      <c r="D93" s="88"/>
      <c r="E93" s="88"/>
      <c r="F93" s="90"/>
      <c r="G93" s="88"/>
      <c r="H93" s="91"/>
    </row>
    <row r="94" spans="1:8" ht="18.75" customHeight="1" outlineLevel="2">
      <c r="B94" s="77"/>
      <c r="C94" s="85"/>
      <c r="D94" s="77"/>
      <c r="E94" s="77"/>
      <c r="F94" s="82"/>
      <c r="G94" s="77"/>
      <c r="H94" s="84"/>
    </row>
    <row r="95" spans="1:8" ht="18.75" customHeight="1" outlineLevel="2">
      <c r="B95" s="85" t="s">
        <v>32</v>
      </c>
      <c r="C95" s="77"/>
      <c r="D95" s="77"/>
      <c r="E95" s="77"/>
      <c r="F95" s="77"/>
      <c r="G95" s="77"/>
      <c r="H95" s="78"/>
    </row>
    <row r="96" spans="1:8" ht="18.75" customHeight="1" outlineLevel="2">
      <c r="B96" s="85"/>
      <c r="C96" s="61" t="s">
        <v>10</v>
      </c>
      <c r="D96" s="77"/>
      <c r="E96" s="77"/>
      <c r="F96" s="83" t="s">
        <v>46</v>
      </c>
      <c r="G96" s="77"/>
      <c r="H96" s="86">
        <f>Assumptions!E28</f>
        <v>40000</v>
      </c>
    </row>
    <row r="97" spans="2:8" ht="18.75" customHeight="1" outlineLevel="2">
      <c r="B97" s="85"/>
      <c r="C97" s="77" t="s">
        <v>47</v>
      </c>
      <c r="D97" s="77"/>
      <c r="E97" s="77"/>
      <c r="F97" s="77"/>
      <c r="G97" s="77"/>
      <c r="H97" s="86">
        <f>Assumptions!E26</f>
        <v>4500</v>
      </c>
    </row>
    <row r="98" spans="2:8" ht="18.75" customHeight="1" outlineLevel="2">
      <c r="B98" s="77"/>
      <c r="C98" s="92" t="s">
        <v>59</v>
      </c>
      <c r="D98" s="77"/>
      <c r="E98" s="77"/>
      <c r="F98" s="83" t="s">
        <v>36</v>
      </c>
      <c r="G98" s="77"/>
      <c r="H98" s="84">
        <f>H96*H97</f>
        <v>180000000</v>
      </c>
    </row>
    <row r="99" spans="2:8" ht="18.75" customHeight="1" outlineLevel="2">
      <c r="B99" s="88"/>
      <c r="C99" s="88"/>
      <c r="D99" s="88"/>
      <c r="E99" s="88"/>
      <c r="F99" s="88"/>
      <c r="G99" s="88"/>
      <c r="H99" s="93"/>
    </row>
    <row r="100" spans="2:8" ht="18.75" customHeight="1" outlineLevel="2">
      <c r="B100" s="77"/>
      <c r="C100" s="77"/>
      <c r="D100" s="77"/>
      <c r="E100" s="77"/>
      <c r="F100" s="77"/>
      <c r="G100" s="77"/>
      <c r="H100" s="78"/>
    </row>
    <row r="101" spans="2:8" ht="18.75" customHeight="1" outlineLevel="2">
      <c r="B101" s="92" t="s">
        <v>44</v>
      </c>
      <c r="C101" s="77"/>
      <c r="D101" s="77"/>
      <c r="E101" s="77"/>
      <c r="F101" s="77"/>
      <c r="G101" s="77"/>
      <c r="H101" s="78"/>
    </row>
    <row r="102" spans="2:8" ht="18.75" customHeight="1" outlineLevel="2">
      <c r="B102" s="77"/>
      <c r="C102" s="83" t="s">
        <v>45</v>
      </c>
      <c r="D102" s="77"/>
      <c r="E102" s="77"/>
      <c r="F102" s="83" t="s">
        <v>46</v>
      </c>
      <c r="G102" s="77"/>
      <c r="H102" s="86">
        <f>Assumptions!E27</f>
        <v>2000</v>
      </c>
    </row>
    <row r="103" spans="2:8" ht="18.75" customHeight="1" outlineLevel="2">
      <c r="B103" s="77"/>
      <c r="C103" s="77" t="s">
        <v>47</v>
      </c>
      <c r="D103" s="77"/>
      <c r="E103" s="77"/>
      <c r="F103" s="77"/>
      <c r="G103" s="77"/>
      <c r="H103" s="86">
        <f>Assumptions!E26</f>
        <v>4500</v>
      </c>
    </row>
    <row r="104" spans="2:8" ht="18.75" customHeight="1" outlineLevel="2">
      <c r="B104" s="77"/>
      <c r="C104" s="77" t="s">
        <v>60</v>
      </c>
      <c r="D104" s="77"/>
      <c r="E104" s="77"/>
      <c r="F104" s="83" t="s">
        <v>36</v>
      </c>
      <c r="G104" s="77"/>
      <c r="H104" s="78">
        <f>H102*H103</f>
        <v>9000000</v>
      </c>
    </row>
    <row r="105" spans="2:8" s="94" customFormat="1" ht="18.75" customHeight="1" outlineLevel="2">
      <c r="B105" s="92"/>
      <c r="C105" s="92" t="s">
        <v>61</v>
      </c>
      <c r="D105" s="92"/>
      <c r="E105" s="92"/>
      <c r="F105" s="76" t="s">
        <v>36</v>
      </c>
      <c r="G105" s="92"/>
      <c r="H105" s="84">
        <f>H104*12</f>
        <v>108000000</v>
      </c>
    </row>
    <row r="106" spans="2:8" s="94" customFormat="1" ht="18.75" customHeight="1" outlineLevel="2">
      <c r="B106" s="92"/>
      <c r="C106" s="92"/>
      <c r="D106" s="92"/>
      <c r="E106" s="92"/>
      <c r="F106" s="76"/>
      <c r="G106" s="92"/>
      <c r="H106" s="84"/>
    </row>
    <row r="107" spans="2:8" s="94" customFormat="1" ht="18.75" customHeight="1" outlineLevel="2">
      <c r="B107" s="92"/>
      <c r="C107" s="92" t="s">
        <v>218</v>
      </c>
      <c r="D107" s="92"/>
      <c r="E107" s="92"/>
      <c r="F107" s="76"/>
      <c r="G107" s="92"/>
      <c r="H107" s="84">
        <f>H92+H98+H105</f>
        <v>1902800880</v>
      </c>
    </row>
    <row r="108" spans="2:8" s="94" customFormat="1" ht="18.75" customHeight="1" outlineLevel="2">
      <c r="B108" s="92"/>
      <c r="C108" s="92"/>
      <c r="D108" s="92"/>
      <c r="E108" s="92"/>
      <c r="F108" s="76"/>
      <c r="G108" s="92"/>
      <c r="H108" s="84"/>
    </row>
    <row r="109" spans="2:8" ht="18.75" customHeight="1" outlineLevel="2">
      <c r="B109" s="95"/>
      <c r="C109" s="95"/>
      <c r="D109" s="95"/>
      <c r="E109" s="95"/>
      <c r="F109" s="95"/>
      <c r="G109" s="95"/>
      <c r="H109" s="96"/>
    </row>
    <row r="110" spans="2:8" ht="18.75" customHeight="1" outlineLevel="2">
      <c r="B110" s="77"/>
      <c r="C110" s="77"/>
      <c r="D110" s="77"/>
      <c r="E110" s="77"/>
      <c r="F110" s="77"/>
      <c r="G110" s="77"/>
      <c r="H110" s="78"/>
    </row>
    <row r="111" spans="2:8" ht="18.75" customHeight="1" outlineLevel="2">
      <c r="B111" s="68"/>
      <c r="C111" s="97"/>
      <c r="D111" s="97"/>
      <c r="E111" s="97"/>
      <c r="F111" s="97"/>
      <c r="G111" s="97"/>
      <c r="H111" s="98"/>
    </row>
    <row r="112" spans="2:8" ht="18.75" customHeight="1" outlineLevel="2">
      <c r="B112" s="68" t="s">
        <v>223</v>
      </c>
      <c r="C112" s="69"/>
      <c r="D112" s="69"/>
      <c r="E112" s="69"/>
      <c r="F112" s="70"/>
      <c r="G112" s="69"/>
      <c r="H112" s="71"/>
    </row>
    <row r="113" spans="1:8" ht="18.75" customHeight="1" outlineLevel="2" thickBot="1">
      <c r="B113" s="72"/>
      <c r="C113" s="73"/>
      <c r="D113" s="73"/>
      <c r="E113" s="73"/>
      <c r="F113" s="74"/>
      <c r="G113" s="73"/>
      <c r="H113" s="75"/>
    </row>
    <row r="114" spans="1:8" ht="18.75" customHeight="1" outlineLevel="2">
      <c r="B114" s="69"/>
      <c r="C114" s="69"/>
      <c r="D114" s="69"/>
      <c r="E114" s="69"/>
      <c r="F114" s="70"/>
      <c r="G114" s="69"/>
      <c r="H114" s="71"/>
    </row>
    <row r="115" spans="1:8" ht="18.75" customHeight="1" outlineLevel="2">
      <c r="A115" s="99"/>
      <c r="B115" s="100" t="s">
        <v>65</v>
      </c>
      <c r="C115" s="100"/>
      <c r="D115" s="100"/>
      <c r="E115" s="100"/>
      <c r="F115" s="100" t="s">
        <v>58</v>
      </c>
      <c r="G115" s="101"/>
      <c r="H115" s="102">
        <f>Assumptions!E5</f>
        <v>5</v>
      </c>
    </row>
    <row r="116" spans="1:8" ht="18.75" customHeight="1" outlineLevel="2">
      <c r="A116" s="99"/>
      <c r="B116" s="77" t="s">
        <v>67</v>
      </c>
      <c r="C116" s="77"/>
      <c r="D116" s="77"/>
      <c r="E116" s="77"/>
      <c r="F116" s="77" t="s">
        <v>36</v>
      </c>
      <c r="G116" s="103"/>
      <c r="H116" s="86">
        <f>Assumptions!E31*1000000000</f>
        <v>6200000000</v>
      </c>
    </row>
    <row r="117" spans="1:8" ht="18.75" customHeight="1" outlineLevel="2">
      <c r="B117" s="104"/>
      <c r="C117" s="77"/>
      <c r="D117" s="77"/>
      <c r="E117" s="77"/>
      <c r="F117" s="77"/>
      <c r="G117" s="103"/>
      <c r="H117" s="105"/>
    </row>
    <row r="118" spans="1:8" ht="18.75" customHeight="1" outlineLevel="2">
      <c r="B118" s="92" t="s">
        <v>126</v>
      </c>
      <c r="C118" s="77"/>
      <c r="D118" s="77"/>
      <c r="E118" s="77"/>
      <c r="F118" s="77"/>
      <c r="G118" s="103"/>
      <c r="H118" s="105"/>
    </row>
    <row r="119" spans="1:8" ht="18.75" customHeight="1" outlineLevel="2">
      <c r="B119" s="77"/>
      <c r="C119" s="77" t="s">
        <v>217</v>
      </c>
      <c r="D119" s="82"/>
      <c r="E119" s="77"/>
      <c r="F119" s="61" t="s">
        <v>36</v>
      </c>
      <c r="G119" s="86">
        <f>Assumptions!E12</f>
        <v>25</v>
      </c>
      <c r="H119" s="78">
        <f>(G119*1000000)*H115</f>
        <v>125000000</v>
      </c>
    </row>
    <row r="120" spans="1:8" ht="18.75" customHeight="1" outlineLevel="2">
      <c r="B120" s="77"/>
      <c r="C120" s="77" t="s">
        <v>123</v>
      </c>
      <c r="D120" s="82"/>
      <c r="E120" s="77"/>
      <c r="F120" s="61" t="s">
        <v>36</v>
      </c>
      <c r="G120" s="86">
        <f>Assumptions!E13</f>
        <v>6</v>
      </c>
      <c r="H120" s="78">
        <f>G120*1000000</f>
        <v>6000000</v>
      </c>
    </row>
    <row r="121" spans="1:8" ht="18.75" customHeight="1" outlineLevel="2">
      <c r="B121" s="77"/>
      <c r="C121" s="77" t="s">
        <v>124</v>
      </c>
      <c r="D121" s="82"/>
      <c r="E121" s="77"/>
      <c r="F121" s="61" t="s">
        <v>36</v>
      </c>
      <c r="G121" s="86">
        <f>Assumptions!E14</f>
        <v>5</v>
      </c>
      <c r="H121" s="78">
        <f>G121*1000000</f>
        <v>5000000</v>
      </c>
    </row>
    <row r="122" spans="1:8" ht="18.75" customHeight="1" outlineLevel="2">
      <c r="B122" s="77"/>
      <c r="C122" s="106" t="s">
        <v>48</v>
      </c>
      <c r="E122" s="77"/>
      <c r="G122" s="107">
        <f>Assumptions!E11</f>
        <v>6.0000000000000001E-3</v>
      </c>
      <c r="H122" s="78">
        <f>G122*H116</f>
        <v>37200000</v>
      </c>
    </row>
    <row r="123" spans="1:8" ht="18.75" customHeight="1" outlineLevel="2">
      <c r="B123" s="77"/>
      <c r="C123" s="82"/>
      <c r="D123" s="82"/>
      <c r="E123" s="77"/>
      <c r="F123" s="92" t="s">
        <v>36</v>
      </c>
      <c r="G123" s="77"/>
      <c r="H123" s="108">
        <f>SUM(H119:H122)</f>
        <v>173200000</v>
      </c>
    </row>
    <row r="124" spans="1:8" ht="18.75" customHeight="1" outlineLevel="2">
      <c r="B124" s="77"/>
      <c r="C124" s="82"/>
      <c r="D124" s="82"/>
      <c r="E124" s="77"/>
      <c r="F124" s="92"/>
      <c r="G124" s="77"/>
      <c r="H124" s="84"/>
    </row>
    <row r="125" spans="1:8" ht="18.75" customHeight="1" outlineLevel="2">
      <c r="B125" s="92" t="s">
        <v>116</v>
      </c>
      <c r="C125" s="82"/>
      <c r="D125" s="82"/>
      <c r="E125" s="77"/>
      <c r="F125" s="92"/>
      <c r="G125" s="77"/>
      <c r="H125" s="84"/>
    </row>
    <row r="126" spans="1:8" ht="18.75" customHeight="1" outlineLevel="2">
      <c r="B126" s="77"/>
      <c r="C126" s="61" t="s">
        <v>216</v>
      </c>
      <c r="F126" s="67"/>
      <c r="H126" s="121">
        <f>Assumptions!E15</f>
        <v>0.01</v>
      </c>
    </row>
    <row r="127" spans="1:8" ht="18.75" customHeight="1" outlineLevel="2">
      <c r="B127" s="77"/>
      <c r="C127" s="61" t="s">
        <v>116</v>
      </c>
      <c r="F127" s="67"/>
      <c r="H127" s="149">
        <f>H126*H107</f>
        <v>19028008.800000001</v>
      </c>
    </row>
    <row r="128" spans="1:8" ht="18.75" customHeight="1" outlineLevel="2">
      <c r="F128" s="67"/>
      <c r="G128" s="149"/>
      <c r="H128" s="61"/>
    </row>
    <row r="129" spans="1:8" ht="18.75" customHeight="1" outlineLevel="2">
      <c r="B129" s="95"/>
      <c r="C129" s="95"/>
      <c r="D129" s="95"/>
      <c r="E129" s="95"/>
      <c r="F129" s="95"/>
      <c r="G129" s="95"/>
      <c r="H129" s="96"/>
    </row>
    <row r="130" spans="1:8" ht="18.75" customHeight="1" outlineLevel="2"/>
    <row r="131" spans="1:8" ht="18.75" customHeight="1" outlineLevel="2">
      <c r="B131" s="68"/>
      <c r="C131" s="97"/>
      <c r="D131" s="97"/>
      <c r="E131" s="97"/>
      <c r="F131" s="97"/>
      <c r="G131" s="97"/>
      <c r="H131" s="98"/>
    </row>
    <row r="132" spans="1:8" ht="18.75" customHeight="1" outlineLevel="2">
      <c r="B132" s="68" t="s">
        <v>196</v>
      </c>
      <c r="C132" s="69"/>
      <c r="D132" s="69"/>
      <c r="E132" s="69"/>
      <c r="F132" s="70"/>
      <c r="G132" s="69"/>
      <c r="H132" s="71"/>
    </row>
    <row r="133" spans="1:8" ht="18.75" customHeight="1" outlineLevel="2" thickBot="1">
      <c r="B133" s="72"/>
      <c r="C133" s="73"/>
      <c r="D133" s="73"/>
      <c r="E133" s="73"/>
      <c r="F133" s="74"/>
      <c r="G133" s="73"/>
      <c r="H133" s="75"/>
    </row>
    <row r="134" spans="1:8" ht="18.75" customHeight="1" outlineLevel="2">
      <c r="B134" s="155"/>
      <c r="C134" s="155"/>
      <c r="D134" s="155"/>
      <c r="E134" s="155"/>
      <c r="F134" s="155"/>
      <c r="G134" s="155"/>
      <c r="H134" s="156"/>
    </row>
    <row r="135" spans="1:8" ht="18.75" customHeight="1" outlineLevel="2">
      <c r="A135" s="154"/>
      <c r="B135" s="94"/>
      <c r="C135" s="61" t="s">
        <v>209</v>
      </c>
      <c r="G135" s="67"/>
      <c r="H135" s="147">
        <f>Assumptions!E6</f>
        <v>365</v>
      </c>
    </row>
    <row r="136" spans="1:8" ht="18.75" customHeight="1" outlineLevel="2">
      <c r="A136" s="154"/>
      <c r="B136" s="94"/>
      <c r="C136" s="61" t="s">
        <v>151</v>
      </c>
      <c r="G136" s="67"/>
      <c r="H136" s="121">
        <f>Assumptions!E15</f>
        <v>0.01</v>
      </c>
    </row>
    <row r="137" spans="1:8" ht="18.75" customHeight="1" outlineLevel="2">
      <c r="A137" s="154"/>
      <c r="B137" s="94"/>
      <c r="C137" s="61" t="s">
        <v>194</v>
      </c>
      <c r="G137" s="67"/>
      <c r="H137" s="61" t="str">
        <f>Assumptions!E19</f>
        <v>One month operating expenses</v>
      </c>
    </row>
    <row r="138" spans="1:8" ht="18.75" customHeight="1" outlineLevel="2">
      <c r="A138" s="154"/>
      <c r="B138" s="94"/>
      <c r="C138" s="61" t="s">
        <v>210</v>
      </c>
      <c r="G138" s="67"/>
      <c r="H138" s="67">
        <f>H10</f>
        <v>1902800880</v>
      </c>
    </row>
    <row r="139" spans="1:8" ht="18.75" customHeight="1" outlineLevel="2">
      <c r="A139" s="154"/>
      <c r="B139" s="94"/>
      <c r="C139" s="61" t="s">
        <v>211</v>
      </c>
      <c r="G139" s="67"/>
      <c r="H139" s="67">
        <f>-H11</f>
        <v>173200000</v>
      </c>
    </row>
    <row r="140" spans="1:8" ht="18.75" customHeight="1" outlineLevel="2">
      <c r="B140" s="94"/>
      <c r="H140" s="61"/>
    </row>
    <row r="141" spans="1:8" ht="18.75" customHeight="1" outlineLevel="2">
      <c r="B141" s="94" t="s">
        <v>212</v>
      </c>
      <c r="G141" s="67"/>
      <c r="H141" s="61"/>
    </row>
    <row r="142" spans="1:8" ht="18.75" customHeight="1" outlineLevel="2">
      <c r="B142" s="94"/>
      <c r="C142" s="61" t="s">
        <v>1</v>
      </c>
      <c r="G142" s="67"/>
      <c r="H142" s="148">
        <v>0</v>
      </c>
    </row>
    <row r="143" spans="1:8" ht="18.75" customHeight="1" outlineLevel="2">
      <c r="B143" s="94"/>
      <c r="C143" s="61" t="s">
        <v>213</v>
      </c>
      <c r="G143" s="67"/>
      <c r="H143" s="147">
        <f>Assumptions!E16</f>
        <v>30</v>
      </c>
    </row>
    <row r="144" spans="1:8" ht="18.75" customHeight="1" outlineLevel="2">
      <c r="B144" s="94"/>
      <c r="C144" s="61" t="s">
        <v>109</v>
      </c>
      <c r="G144" s="67"/>
      <c r="H144" s="147">
        <f>Assumptions!E17</f>
        <v>45</v>
      </c>
    </row>
    <row r="145" spans="2:8" ht="18.75" customHeight="1" outlineLevel="2">
      <c r="B145" s="94"/>
      <c r="G145" s="67"/>
      <c r="H145" s="61"/>
    </row>
    <row r="146" spans="2:8" ht="18.75" customHeight="1" outlineLevel="2">
      <c r="B146" s="94" t="s">
        <v>214</v>
      </c>
      <c r="G146" s="67"/>
      <c r="H146" s="61"/>
    </row>
    <row r="147" spans="2:8" ht="18.75" customHeight="1" outlineLevel="2">
      <c r="C147" s="61" t="s">
        <v>1</v>
      </c>
      <c r="G147" s="67"/>
      <c r="H147" s="152">
        <f>(H142*H138)/H135</f>
        <v>0</v>
      </c>
    </row>
    <row r="148" spans="2:8" ht="18.75" customHeight="1" outlineLevel="2">
      <c r="C148" s="61" t="s">
        <v>213</v>
      </c>
      <c r="G148" s="67"/>
      <c r="H148" s="152">
        <f>H143*H139/H135</f>
        <v>14235616.438356165</v>
      </c>
    </row>
    <row r="149" spans="2:8" ht="18.75" customHeight="1" outlineLevel="2">
      <c r="C149" s="61" t="s">
        <v>151</v>
      </c>
      <c r="G149" s="67"/>
      <c r="H149" s="152">
        <f>G122*H116</f>
        <v>37200000</v>
      </c>
    </row>
    <row r="150" spans="2:8" ht="18.75" customHeight="1" outlineLevel="2">
      <c r="C150" s="61" t="s">
        <v>109</v>
      </c>
      <c r="G150" s="67"/>
      <c r="H150" s="152">
        <f>(H144*H139)/H135</f>
        <v>21353424.657534245</v>
      </c>
    </row>
    <row r="151" spans="2:8" ht="18.75" customHeight="1" outlineLevel="2">
      <c r="C151" s="61" t="s">
        <v>194</v>
      </c>
      <c r="G151" s="67"/>
      <c r="H151" s="152">
        <f>H127/12</f>
        <v>1585667.4000000001</v>
      </c>
    </row>
    <row r="152" spans="2:8" ht="18.75" customHeight="1" outlineLevel="2">
      <c r="C152" s="61" t="s">
        <v>215</v>
      </c>
      <c r="G152" s="67"/>
      <c r="H152" s="153">
        <f>H147+H148+H149-H150-H151</f>
        <v>28496524.380821917</v>
      </c>
    </row>
    <row r="153" spans="2:8" ht="18.75" customHeight="1" outlineLevel="2">
      <c r="G153" s="67"/>
    </row>
    <row r="154" spans="2:8" ht="18.75" customHeight="1" outlineLevel="2">
      <c r="B154" s="95"/>
      <c r="C154" s="95"/>
      <c r="D154" s="95"/>
      <c r="E154" s="95"/>
      <c r="F154" s="95"/>
      <c r="G154" s="95"/>
      <c r="H154" s="96"/>
    </row>
    <row r="155" spans="2:8" ht="18.75" customHeight="1" outlineLevel="2">
      <c r="B155" s="77"/>
      <c r="C155" s="77"/>
      <c r="D155" s="77"/>
      <c r="E155" s="77"/>
      <c r="F155" s="77"/>
      <c r="G155" s="77"/>
      <c r="H155" s="78"/>
    </row>
    <row r="156" spans="2:8" ht="18.75" customHeight="1" outlineLevel="2">
      <c r="B156" s="68"/>
      <c r="C156" s="97"/>
      <c r="D156" s="97"/>
      <c r="E156" s="97"/>
      <c r="F156" s="97"/>
      <c r="G156" s="97"/>
      <c r="H156" s="98"/>
    </row>
    <row r="157" spans="2:8" ht="18.75" customHeight="1" outlineLevel="2">
      <c r="B157" s="68" t="s">
        <v>49</v>
      </c>
      <c r="C157" s="69"/>
      <c r="D157" s="69"/>
      <c r="E157" s="69"/>
      <c r="F157" s="70"/>
      <c r="G157" s="69"/>
      <c r="H157" s="71"/>
    </row>
    <row r="158" spans="2:8" ht="18.75" customHeight="1" outlineLevel="2" thickBot="1">
      <c r="B158" s="72"/>
      <c r="C158" s="73"/>
      <c r="D158" s="73"/>
      <c r="E158" s="73"/>
      <c r="F158" s="74"/>
      <c r="G158" s="73"/>
      <c r="H158" s="75"/>
    </row>
    <row r="159" spans="2:8" ht="18.75" customHeight="1" outlineLevel="2"/>
    <row r="160" spans="2:8" ht="18.75" customHeight="1" outlineLevel="2"/>
    <row r="161" spans="2:12" ht="18.75" customHeight="1" outlineLevel="2">
      <c r="C161" s="109" t="str" cm="1">
        <f t="array" ref="C161:K161">TRANSPOSE(Assumptions!B41:B49)</f>
        <v>Solar PV Panels</v>
      </c>
      <c r="D161" s="109" t="str">
        <v>Battery ESS</v>
      </c>
      <c r="E161" s="109" t="str">
        <v>Inverters</v>
      </c>
      <c r="F161" s="109" t="str">
        <v>Mounting Structures</v>
      </c>
      <c r="G161" s="109" t="str">
        <v>Transformers</v>
      </c>
      <c r="H161" s="110" t="str">
        <v>Distribution Network</v>
      </c>
      <c r="I161" s="109" t="str">
        <v>Plant yard and Civil Works</v>
      </c>
      <c r="J161" s="109" t="str">
        <v>Vehicles</v>
      </c>
      <c r="K161" s="109" t="str">
        <v>Office Equipment &amp; IT</v>
      </c>
      <c r="L161" s="109" t="s">
        <v>201</v>
      </c>
    </row>
    <row r="162" spans="2:12" ht="18.75" customHeight="1" outlineLevel="2">
      <c r="B162" s="61" t="s">
        <v>95</v>
      </c>
      <c r="C162" s="111" cm="1">
        <f t="array" ref="C162:K162">TRANSPOSE(Assumptions!D41:D49)</f>
        <v>20</v>
      </c>
      <c r="D162" s="111">
        <v>7</v>
      </c>
      <c r="E162" s="111">
        <v>10</v>
      </c>
      <c r="F162" s="111">
        <v>20</v>
      </c>
      <c r="G162" s="111">
        <v>15</v>
      </c>
      <c r="H162" s="111">
        <v>20</v>
      </c>
      <c r="I162" s="111">
        <v>20</v>
      </c>
      <c r="J162" s="111">
        <v>3</v>
      </c>
      <c r="K162" s="111">
        <v>4</v>
      </c>
    </row>
    <row r="163" spans="2:12" ht="18.75" customHeight="1" outlineLevel="2">
      <c r="B163" s="61" t="s">
        <v>86</v>
      </c>
      <c r="C163" s="112" cm="1">
        <f t="array" ref="C163:I163">TRANSPOSE(Assumptions!E41:E47)</f>
        <v>0.2</v>
      </c>
      <c r="D163" s="112">
        <v>0.25</v>
      </c>
      <c r="E163" s="112">
        <v>0.18</v>
      </c>
      <c r="F163" s="112">
        <v>0.12</v>
      </c>
      <c r="G163" s="112">
        <v>0.05</v>
      </c>
      <c r="H163" s="112">
        <v>0.15</v>
      </c>
      <c r="I163" s="112">
        <v>0.05</v>
      </c>
      <c r="J163" s="111"/>
      <c r="K163" s="111"/>
    </row>
    <row r="164" spans="2:12" ht="18.75" customHeight="1" outlineLevel="2">
      <c r="B164" s="94"/>
      <c r="C164" s="112"/>
      <c r="D164" s="112"/>
      <c r="E164" s="112"/>
      <c r="F164" s="112"/>
      <c r="G164" s="112"/>
      <c r="H164" s="112"/>
      <c r="I164" s="112"/>
      <c r="J164" s="111"/>
      <c r="K164" s="111"/>
    </row>
    <row r="165" spans="2:12" ht="18.75" customHeight="1" outlineLevel="2">
      <c r="B165" s="61" t="s">
        <v>87</v>
      </c>
      <c r="C165" s="86" cm="1">
        <f t="array" ref="C165:K165">H116*TRANSPOSE(Assumptions!C41:C49)</f>
        <v>1860000000</v>
      </c>
      <c r="D165" s="86">
        <v>1426000000</v>
      </c>
      <c r="E165" s="86">
        <v>496000000</v>
      </c>
      <c r="F165" s="86">
        <v>310000000</v>
      </c>
      <c r="G165" s="86">
        <v>248000000</v>
      </c>
      <c r="H165" s="86">
        <v>806000000</v>
      </c>
      <c r="I165" s="86">
        <v>620000000</v>
      </c>
      <c r="J165" s="86">
        <v>124000000</v>
      </c>
      <c r="K165" s="86">
        <v>62000000</v>
      </c>
      <c r="L165" s="67">
        <f>SUM(C165:K165)</f>
        <v>5952000000</v>
      </c>
    </row>
    <row r="166" spans="2:12" ht="18.75" customHeight="1" outlineLevel="2">
      <c r="B166" s="61" t="s">
        <v>96</v>
      </c>
      <c r="C166" s="86">
        <f>Assumptions!$C$50*$H$116*C$163</f>
        <v>49600000</v>
      </c>
      <c r="D166" s="86">
        <f>Assumptions!$C$50*$H$116*D$163</f>
        <v>62000000</v>
      </c>
      <c r="E166" s="86">
        <f>Assumptions!$C$50*$H$116*E$163</f>
        <v>44640000</v>
      </c>
      <c r="F166" s="86">
        <f>Assumptions!$C$50*$H$116*F$163</f>
        <v>29760000</v>
      </c>
      <c r="G166" s="86">
        <f>Assumptions!$C$50*$H$116*G$163</f>
        <v>12400000</v>
      </c>
      <c r="H166" s="86">
        <f>Assumptions!$C$50*$H$116*H$163</f>
        <v>37200000</v>
      </c>
      <c r="I166" s="86">
        <f>Assumptions!$C$50*$H$116*I$163</f>
        <v>12400000</v>
      </c>
      <c r="J166" s="86">
        <f>Assumptions!$C$50*$H$116*J$163</f>
        <v>0</v>
      </c>
      <c r="K166" s="86">
        <f>Assumptions!$C$50*$H$116*K$163</f>
        <v>0</v>
      </c>
      <c r="L166" s="67">
        <f>SUM(C166:K166)</f>
        <v>248000000</v>
      </c>
    </row>
    <row r="167" spans="2:12" ht="18.75" customHeight="1" outlineLevel="2">
      <c r="B167" s="61" t="s">
        <v>94</v>
      </c>
      <c r="C167" s="67"/>
      <c r="D167" s="67"/>
      <c r="E167" s="67"/>
      <c r="F167" s="67"/>
      <c r="G167" s="67"/>
      <c r="I167" s="67"/>
      <c r="J167" s="67"/>
      <c r="K167" s="67"/>
      <c r="L167" s="67"/>
    </row>
    <row r="168" spans="2:12" ht="18.75" customHeight="1" outlineLevel="2">
      <c r="B168" s="61" t="s">
        <v>88</v>
      </c>
      <c r="C168" s="113">
        <f t="shared" ref="C168:K168" si="0">SUM(C165:C167)</f>
        <v>1909600000</v>
      </c>
      <c r="D168" s="113">
        <f t="shared" si="0"/>
        <v>1488000000</v>
      </c>
      <c r="E168" s="113">
        <f t="shared" si="0"/>
        <v>540640000</v>
      </c>
      <c r="F168" s="113">
        <f t="shared" si="0"/>
        <v>339760000</v>
      </c>
      <c r="G168" s="113">
        <f t="shared" si="0"/>
        <v>260400000</v>
      </c>
      <c r="H168" s="113">
        <f t="shared" si="0"/>
        <v>843200000</v>
      </c>
      <c r="I168" s="113">
        <f t="shared" si="0"/>
        <v>632400000</v>
      </c>
      <c r="J168" s="113">
        <f t="shared" si="0"/>
        <v>124000000</v>
      </c>
      <c r="K168" s="113">
        <f t="shared" si="0"/>
        <v>62000000</v>
      </c>
      <c r="L168" s="113">
        <f>SUM(C168:K168)</f>
        <v>6200000000</v>
      </c>
    </row>
    <row r="169" spans="2:12" ht="18.75" customHeight="1" outlineLevel="2">
      <c r="G169" s="67"/>
      <c r="H169" s="61"/>
      <c r="L169" s="67"/>
    </row>
    <row r="170" spans="2:12" ht="18.75" customHeight="1" outlineLevel="2">
      <c r="B170" s="61" t="s">
        <v>106</v>
      </c>
      <c r="C170" s="114">
        <f>C168/C162</f>
        <v>95480000</v>
      </c>
      <c r="D170" s="114">
        <f t="shared" ref="D170:K170" si="1">D168/D162</f>
        <v>212571428.57142857</v>
      </c>
      <c r="E170" s="114">
        <f t="shared" si="1"/>
        <v>54064000</v>
      </c>
      <c r="F170" s="114">
        <f t="shared" si="1"/>
        <v>16988000</v>
      </c>
      <c r="G170" s="114">
        <f t="shared" si="1"/>
        <v>17360000</v>
      </c>
      <c r="H170" s="114">
        <f t="shared" si="1"/>
        <v>42160000</v>
      </c>
      <c r="I170" s="114">
        <f t="shared" si="1"/>
        <v>31620000</v>
      </c>
      <c r="J170" s="114">
        <f t="shared" si="1"/>
        <v>41333333.333333336</v>
      </c>
      <c r="K170" s="114">
        <f t="shared" si="1"/>
        <v>15500000</v>
      </c>
      <c r="L170" s="144">
        <f>SUM(C170:K170)</f>
        <v>527076761.90476185</v>
      </c>
    </row>
    <row r="171" spans="2:12" ht="18.75" customHeight="1" outlineLevel="2">
      <c r="B171" s="94" t="s">
        <v>66</v>
      </c>
      <c r="C171" s="115">
        <f>C168-C170</f>
        <v>1814120000</v>
      </c>
      <c r="D171" s="115">
        <f t="shared" ref="D171:K171" si="2">D168-D170</f>
        <v>1275428571.4285715</v>
      </c>
      <c r="E171" s="115">
        <f t="shared" si="2"/>
        <v>486576000</v>
      </c>
      <c r="F171" s="115">
        <f t="shared" si="2"/>
        <v>322772000</v>
      </c>
      <c r="G171" s="115">
        <f t="shared" si="2"/>
        <v>243040000</v>
      </c>
      <c r="H171" s="115">
        <f t="shared" si="2"/>
        <v>801040000</v>
      </c>
      <c r="I171" s="115">
        <f t="shared" si="2"/>
        <v>600780000</v>
      </c>
      <c r="J171" s="115">
        <f t="shared" si="2"/>
        <v>82666666.666666657</v>
      </c>
      <c r="K171" s="115">
        <f t="shared" si="2"/>
        <v>46500000</v>
      </c>
      <c r="L171" s="145">
        <f>L168-L170</f>
        <v>5672923238.0952377</v>
      </c>
    </row>
    <row r="172" spans="2:12" ht="18.75" customHeight="1" outlineLevel="2"/>
    <row r="173" spans="2:12" ht="18.75" customHeight="1" outlineLevel="2">
      <c r="B173" s="95"/>
      <c r="C173" s="95"/>
      <c r="D173" s="95"/>
      <c r="E173" s="95"/>
      <c r="F173" s="95"/>
      <c r="G173" s="95"/>
      <c r="H173" s="96"/>
      <c r="I173" s="116"/>
      <c r="J173" s="116"/>
      <c r="K173" s="116"/>
      <c r="L173" s="116"/>
    </row>
    <row r="174" spans="2:12" ht="18.75" customHeight="1" outlineLevel="2">
      <c r="B174" s="77"/>
      <c r="C174" s="77"/>
      <c r="D174" s="77"/>
      <c r="E174" s="77"/>
      <c r="F174" s="77"/>
      <c r="G174" s="77"/>
      <c r="H174" s="78"/>
    </row>
    <row r="175" spans="2:12" ht="18.75" customHeight="1" outlineLevel="2">
      <c r="B175" s="68"/>
      <c r="C175" s="97"/>
      <c r="D175" s="97"/>
      <c r="E175" s="97"/>
      <c r="F175" s="97"/>
      <c r="G175" s="97"/>
      <c r="H175" s="98"/>
    </row>
    <row r="176" spans="2:12" ht="18.75" customHeight="1" outlineLevel="2">
      <c r="B176" s="68" t="s">
        <v>202</v>
      </c>
      <c r="C176" s="69"/>
      <c r="D176" s="69"/>
      <c r="E176" s="69"/>
      <c r="F176" s="70"/>
      <c r="G176" s="69"/>
      <c r="H176" s="71"/>
    </row>
    <row r="177" spans="2:9" ht="18.75" customHeight="1" outlineLevel="2" thickBot="1">
      <c r="B177" s="72"/>
      <c r="C177" s="73"/>
      <c r="D177" s="73"/>
      <c r="E177" s="73"/>
      <c r="F177" s="74"/>
      <c r="G177" s="73"/>
      <c r="H177" s="75"/>
    </row>
    <row r="178" spans="2:9" ht="18.75" customHeight="1" outlineLevel="2"/>
    <row r="179" spans="2:9" ht="18.75" customHeight="1" outlineLevel="2">
      <c r="B179" s="94" t="s">
        <v>203</v>
      </c>
    </row>
    <row r="180" spans="2:9" s="117" customFormat="1" ht="18.75" customHeight="1" outlineLevel="2">
      <c r="C180" s="118" t="s">
        <v>184</v>
      </c>
      <c r="H180" s="160"/>
    </row>
    <row r="181" spans="2:9" s="117" customFormat="1" ht="18.75" customHeight="1" outlineLevel="2">
      <c r="D181" s="117" t="s">
        <v>128</v>
      </c>
      <c r="H181" s="161">
        <v>0</v>
      </c>
    </row>
    <row r="182" spans="2:9" s="117" customFormat="1" ht="18.75" customHeight="1" outlineLevel="2">
      <c r="D182" s="117" t="s">
        <v>129</v>
      </c>
      <c r="H182" s="162">
        <f ca="1">H78</f>
        <v>710094369.47315693</v>
      </c>
    </row>
    <row r="183" spans="2:9" s="117" customFormat="1" ht="18.75" customHeight="1" outlineLevel="2">
      <c r="D183" s="117" t="s">
        <v>130</v>
      </c>
      <c r="H183" s="160">
        <f ca="1">SUM(H181:H182)</f>
        <v>710094369.47315693</v>
      </c>
      <c r="I183" s="120"/>
    </row>
    <row r="184" spans="2:9" s="117" customFormat="1" ht="18.75" customHeight="1" outlineLevel="2">
      <c r="D184" s="117" t="s">
        <v>112</v>
      </c>
      <c r="H184" s="164">
        <f>Assumptions!E37</f>
        <v>0.02</v>
      </c>
    </row>
    <row r="185" spans="2:9" s="117" customFormat="1" ht="18.75" customHeight="1" outlineLevel="2">
      <c r="D185" s="117" t="s">
        <v>131</v>
      </c>
      <c r="H185" s="160">
        <f ca="1">H183*H184</f>
        <v>14201887.38946314</v>
      </c>
    </row>
    <row r="186" spans="2:9" s="117" customFormat="1" ht="18.75" customHeight="1" outlineLevel="2">
      <c r="C186" s="118" t="s">
        <v>185</v>
      </c>
    </row>
    <row r="187" spans="2:9" s="117" customFormat="1" ht="18.75" customHeight="1" outlineLevel="2">
      <c r="C187" s="118"/>
      <c r="D187" s="117" t="s">
        <v>205</v>
      </c>
      <c r="H187" s="137">
        <f>F216</f>
        <v>669599999.99999988</v>
      </c>
    </row>
    <row r="188" spans="2:9" s="117" customFormat="1" ht="18.75" customHeight="1" outlineLevel="2">
      <c r="C188" s="118"/>
      <c r="D188" s="117" t="s">
        <v>220</v>
      </c>
      <c r="H188" s="165">
        <f ca="1">H187-H185</f>
        <v>655398112.61053669</v>
      </c>
    </row>
    <row r="189" spans="2:9" s="117" customFormat="1" ht="18.75" customHeight="1" outlineLevel="2">
      <c r="D189" s="118"/>
      <c r="H189" s="135"/>
    </row>
    <row r="190" spans="2:9" s="117" customFormat="1" ht="18.75" customHeight="1" outlineLevel="2">
      <c r="C190" s="118" t="s">
        <v>186</v>
      </c>
      <c r="D190" s="117" t="s">
        <v>187</v>
      </c>
      <c r="H190" s="137">
        <f>E208</f>
        <v>3719999999.9999995</v>
      </c>
    </row>
    <row r="191" spans="2:9" s="117" customFormat="1" ht="18.75" customHeight="1" outlineLevel="2">
      <c r="D191" s="117" t="s">
        <v>188</v>
      </c>
      <c r="H191" s="137">
        <f>-G216</f>
        <v>-158154465.73007309</v>
      </c>
    </row>
    <row r="192" spans="2:9" s="117" customFormat="1" ht="18.75" customHeight="1" outlineLevel="2">
      <c r="D192" s="117" t="s">
        <v>189</v>
      </c>
      <c r="H192" s="136">
        <f>SUM(H190:H191)</f>
        <v>3561845534.2699265</v>
      </c>
    </row>
    <row r="193" spans="2:8" s="117" customFormat="1" ht="18.75" customHeight="1" outlineLevel="2">
      <c r="H193" s="137"/>
    </row>
    <row r="194" spans="2:8" s="117" customFormat="1" ht="18.75" customHeight="1" outlineLevel="2" thickBot="1">
      <c r="D194" s="117" t="s">
        <v>190</v>
      </c>
      <c r="H194" s="138">
        <f>G217</f>
        <v>186622269.56148624</v>
      </c>
    </row>
    <row r="195" spans="2:8" s="117" customFormat="1" ht="18.75" customHeight="1" outlineLevel="2" thickTop="1" thickBot="1">
      <c r="D195" s="117" t="s">
        <v>191</v>
      </c>
      <c r="H195" s="139">
        <f>H192-H194</f>
        <v>3375223264.7084403</v>
      </c>
    </row>
    <row r="196" spans="2:8" s="117" customFormat="1" ht="18.75" customHeight="1" outlineLevel="2" thickTop="1">
      <c r="H196" s="137"/>
    </row>
    <row r="197" spans="2:8" s="117" customFormat="1" ht="18.75" customHeight="1" outlineLevel="2">
      <c r="B197" s="118" t="s">
        <v>204</v>
      </c>
      <c r="H197" s="137"/>
    </row>
    <row r="198" spans="2:8" s="117" customFormat="1" ht="18.75" customHeight="1" outlineLevel="2">
      <c r="C198" s="118" t="s">
        <v>197</v>
      </c>
      <c r="D198" s="117" t="s">
        <v>198</v>
      </c>
      <c r="H198" s="137">
        <f>H116</f>
        <v>6200000000</v>
      </c>
    </row>
    <row r="199" spans="2:8" s="117" customFormat="1" ht="18.75" customHeight="1" outlineLevel="2">
      <c r="D199" s="117" t="s">
        <v>199</v>
      </c>
      <c r="H199" s="142">
        <f>Assumptions!E33</f>
        <v>0.4</v>
      </c>
    </row>
    <row r="200" spans="2:8" s="117" customFormat="1" ht="18.75" customHeight="1" outlineLevel="2">
      <c r="D200" s="117" t="s">
        <v>200</v>
      </c>
      <c r="H200" s="143">
        <f>H198*H199</f>
        <v>2480000000</v>
      </c>
    </row>
    <row r="201" spans="2:8" s="117" customFormat="1" ht="18.75" customHeight="1" outlineLevel="2">
      <c r="H201" s="141"/>
    </row>
    <row r="202" spans="2:8" s="117" customFormat="1" ht="18.75" customHeight="1" outlineLevel="2">
      <c r="B202" s="119"/>
      <c r="C202" s="119"/>
      <c r="D202" s="119"/>
      <c r="E202" s="119"/>
      <c r="F202" s="119"/>
      <c r="G202" s="119"/>
      <c r="H202" s="119"/>
    </row>
    <row r="203" spans="2:8" ht="18.75" customHeight="1" outlineLevel="2"/>
    <row r="204" spans="2:8" ht="18.75" customHeight="1" outlineLevel="2">
      <c r="B204" s="68"/>
      <c r="C204" s="97"/>
      <c r="D204" s="97"/>
      <c r="E204" s="97"/>
      <c r="F204" s="97"/>
      <c r="G204" s="97"/>
      <c r="H204" s="98"/>
    </row>
    <row r="205" spans="2:8" ht="18.75" customHeight="1" outlineLevel="2">
      <c r="B205" s="68" t="s">
        <v>195</v>
      </c>
      <c r="C205" s="69"/>
      <c r="D205" s="69"/>
      <c r="E205" s="69"/>
      <c r="F205" s="70"/>
      <c r="G205" s="69"/>
      <c r="H205" s="71"/>
    </row>
    <row r="206" spans="2:8" ht="18.75" customHeight="1" outlineLevel="2" thickBot="1">
      <c r="B206" s="72"/>
      <c r="C206" s="73"/>
      <c r="D206" s="73"/>
      <c r="E206" s="73"/>
      <c r="F206" s="74"/>
      <c r="G206" s="73"/>
      <c r="H206" s="75"/>
    </row>
    <row r="207" spans="2:8" ht="18.75" customHeight="1" outlineLevel="2"/>
    <row r="208" spans="2:8" ht="18.75" customHeight="1" outlineLevel="2">
      <c r="B208" s="2"/>
      <c r="C208" s="129" t="s">
        <v>169</v>
      </c>
      <c r="E208" s="131">
        <f>Assumptions!E32*Assumptions!E31*1000000000</f>
        <v>3719999999.9999995</v>
      </c>
      <c r="F208" s="2"/>
      <c r="G208" s="2"/>
      <c r="H208" s="2"/>
    </row>
    <row r="209" spans="2:8" ht="18.75" customHeight="1" outlineLevel="2">
      <c r="B209" s="2"/>
      <c r="C209" s="129" t="s">
        <v>170</v>
      </c>
      <c r="E209" s="132">
        <f>Assumptions!E34</f>
        <v>0.18</v>
      </c>
      <c r="F209" s="2"/>
      <c r="G209" s="2"/>
      <c r="H209" s="2"/>
    </row>
    <row r="210" spans="2:8" ht="18.75" customHeight="1" outlineLevel="2">
      <c r="B210" s="2"/>
      <c r="C210" s="2" t="s">
        <v>171</v>
      </c>
      <c r="E210" s="131">
        <f>Assumptions!E35</f>
        <v>10</v>
      </c>
      <c r="F210" s="2"/>
      <c r="G210" s="2"/>
      <c r="H210" s="2"/>
    </row>
    <row r="211" spans="2:8" ht="18.75" customHeight="1" outlineLevel="2">
      <c r="B211" s="2"/>
      <c r="C211" s="2"/>
      <c r="E211" s="2"/>
      <c r="F211" s="2"/>
      <c r="G211" s="2"/>
      <c r="H211" s="2"/>
    </row>
    <row r="212" spans="2:8" ht="18.75" customHeight="1" outlineLevel="2">
      <c r="B212" s="2"/>
      <c r="C212" s="2" t="s">
        <v>183</v>
      </c>
      <c r="E212" s="129">
        <f>(E208*E209)/(1-(1+E209)^-E210)</f>
        <v>827754465.73007298</v>
      </c>
      <c r="F212" s="2"/>
      <c r="G212" s="2"/>
      <c r="H212" s="2"/>
    </row>
    <row r="213" spans="2:8" ht="18.75" customHeight="1" outlineLevel="2">
      <c r="B213" s="2"/>
      <c r="C213" s="129"/>
      <c r="D213" s="2"/>
      <c r="E213" s="2"/>
      <c r="F213" s="2"/>
      <c r="G213" s="2"/>
      <c r="H213" s="2"/>
    </row>
    <row r="214" spans="2:8" ht="18.75" customHeight="1" outlineLevel="2">
      <c r="B214" s="134" t="s">
        <v>165</v>
      </c>
      <c r="C214" s="133" t="s">
        <v>17</v>
      </c>
      <c r="D214" s="133" t="s">
        <v>182</v>
      </c>
      <c r="E214" s="1" t="s">
        <v>172</v>
      </c>
      <c r="F214" s="1" t="s">
        <v>166</v>
      </c>
      <c r="G214" s="1" t="s">
        <v>206</v>
      </c>
      <c r="H214" s="1" t="s">
        <v>207</v>
      </c>
    </row>
    <row r="215" spans="2:8" ht="18.75" customHeight="1" outlineLevel="2">
      <c r="B215" s="185"/>
      <c r="C215" s="129" t="s">
        <v>168</v>
      </c>
      <c r="D215" s="129"/>
      <c r="E215" s="2"/>
      <c r="F215" s="2"/>
      <c r="G215" s="2"/>
      <c r="H215" s="129">
        <f>E208</f>
        <v>3719999999.9999995</v>
      </c>
    </row>
    <row r="216" spans="2:8" ht="18.75" customHeight="1" outlineLevel="2">
      <c r="B216" s="146">
        <f ca="1">DATE($H$2+ROWS($A$2:A2)-1,12,31)</f>
        <v>46387</v>
      </c>
      <c r="C216" s="129" t="s">
        <v>167</v>
      </c>
      <c r="D216" s="129">
        <f t="shared" ref="D216:D225" si="3">H215</f>
        <v>3719999999.9999995</v>
      </c>
      <c r="E216" s="130">
        <f t="shared" ref="E216:E225" si="4">$E$212</f>
        <v>827754465.73007298</v>
      </c>
      <c r="F216" s="130">
        <f t="shared" ref="F216:F225" si="5">D216*$E$209</f>
        <v>669599999.99999988</v>
      </c>
      <c r="G216" s="130">
        <f t="shared" ref="G216:G225" si="6">E216-F216</f>
        <v>158154465.73007309</v>
      </c>
      <c r="H216" s="130">
        <f t="shared" ref="H216:H225" si="7">D216-G216</f>
        <v>3561845534.2699265</v>
      </c>
    </row>
    <row r="217" spans="2:8" ht="18.75" customHeight="1" outlineLevel="2">
      <c r="B217" s="146">
        <f ca="1">DATE($H$2+ROWS($A$2:A3)-1,12,31)</f>
        <v>46752</v>
      </c>
      <c r="C217" s="129" t="s">
        <v>173</v>
      </c>
      <c r="D217" s="129">
        <f t="shared" si="3"/>
        <v>3561845534.2699265</v>
      </c>
      <c r="E217" s="130">
        <f t="shared" si="4"/>
        <v>827754465.73007298</v>
      </c>
      <c r="F217" s="130">
        <f t="shared" si="5"/>
        <v>641132196.16858673</v>
      </c>
      <c r="G217" s="130">
        <f t="shared" si="6"/>
        <v>186622269.56148624</v>
      </c>
      <c r="H217" s="130">
        <f t="shared" si="7"/>
        <v>3375223264.7084403</v>
      </c>
    </row>
    <row r="218" spans="2:8" ht="18.75" customHeight="1" outlineLevel="2">
      <c r="B218" s="146">
        <f ca="1">DATE($H$2+ROWS($A$2:A4)-1,12,31)</f>
        <v>47118</v>
      </c>
      <c r="C218" s="129" t="s">
        <v>181</v>
      </c>
      <c r="D218" s="129">
        <f t="shared" si="3"/>
        <v>3375223264.7084403</v>
      </c>
      <c r="E218" s="130">
        <f t="shared" si="4"/>
        <v>827754465.73007298</v>
      </c>
      <c r="F218" s="130">
        <f t="shared" si="5"/>
        <v>607540187.64751923</v>
      </c>
      <c r="G218" s="130">
        <f t="shared" si="6"/>
        <v>220214278.08255374</v>
      </c>
      <c r="H218" s="130">
        <f t="shared" si="7"/>
        <v>3155008986.6258864</v>
      </c>
    </row>
    <row r="219" spans="2:8" ht="18.75" customHeight="1" outlineLevel="2">
      <c r="B219" s="146">
        <f ca="1">DATE($H$2+ROWS($A$2:A5)-1,12,31)</f>
        <v>47483</v>
      </c>
      <c r="C219" s="129" t="s">
        <v>174</v>
      </c>
      <c r="D219" s="129">
        <f t="shared" si="3"/>
        <v>3155008986.6258864</v>
      </c>
      <c r="E219" s="130">
        <f t="shared" si="4"/>
        <v>827754465.73007298</v>
      </c>
      <c r="F219" s="130">
        <f t="shared" si="5"/>
        <v>567901617.59265959</v>
      </c>
      <c r="G219" s="130">
        <f t="shared" si="6"/>
        <v>259852848.13741338</v>
      </c>
      <c r="H219" s="130">
        <f t="shared" si="7"/>
        <v>2895156138.4884729</v>
      </c>
    </row>
    <row r="220" spans="2:8" ht="18.75" customHeight="1" outlineLevel="2">
      <c r="B220" s="146">
        <f ca="1">DATE($H$2+ROWS($A$2:A6)-1,12,31)</f>
        <v>47848</v>
      </c>
      <c r="C220" s="129" t="s">
        <v>175</v>
      </c>
      <c r="D220" s="129">
        <f t="shared" si="3"/>
        <v>2895156138.4884729</v>
      </c>
      <c r="E220" s="130">
        <f t="shared" si="4"/>
        <v>827754465.73007298</v>
      </c>
      <c r="F220" s="130">
        <f t="shared" si="5"/>
        <v>521128104.92792511</v>
      </c>
      <c r="G220" s="130">
        <f t="shared" si="6"/>
        <v>306626360.80214787</v>
      </c>
      <c r="H220" s="130">
        <f t="shared" si="7"/>
        <v>2588529777.6863251</v>
      </c>
    </row>
    <row r="221" spans="2:8" ht="18.75" customHeight="1" outlineLevel="2">
      <c r="B221" s="146">
        <f ca="1">DATE($H$2+ROWS($A$2:A7)-1,12,31)</f>
        <v>48213</v>
      </c>
      <c r="C221" s="129" t="s">
        <v>176</v>
      </c>
      <c r="D221" s="129">
        <f t="shared" si="3"/>
        <v>2588529777.6863251</v>
      </c>
      <c r="E221" s="130">
        <f t="shared" si="4"/>
        <v>827754465.73007298</v>
      </c>
      <c r="F221" s="130">
        <f t="shared" si="5"/>
        <v>465935359.98353851</v>
      </c>
      <c r="G221" s="130">
        <f t="shared" si="6"/>
        <v>361819105.74653447</v>
      </c>
      <c r="H221" s="130">
        <f t="shared" si="7"/>
        <v>2226710671.9397907</v>
      </c>
    </row>
    <row r="222" spans="2:8" ht="18.75" customHeight="1" outlineLevel="2">
      <c r="B222" s="146">
        <f ca="1">DATE($H$2+ROWS($A$2:A8)-1,12,31)</f>
        <v>48579</v>
      </c>
      <c r="C222" s="129" t="s">
        <v>177</v>
      </c>
      <c r="D222" s="129">
        <f t="shared" si="3"/>
        <v>2226710671.9397907</v>
      </c>
      <c r="E222" s="130">
        <f t="shared" si="4"/>
        <v>827754465.73007298</v>
      </c>
      <c r="F222" s="130">
        <f t="shared" si="5"/>
        <v>400807920.9491623</v>
      </c>
      <c r="G222" s="130">
        <f t="shared" si="6"/>
        <v>426946544.78091067</v>
      </c>
      <c r="H222" s="130">
        <f t="shared" si="7"/>
        <v>1799764127.15888</v>
      </c>
    </row>
    <row r="223" spans="2:8" ht="18.75" customHeight="1" outlineLevel="2">
      <c r="B223" s="146">
        <f ca="1">DATE($H$2+ROWS($A$2:A9)-1,12,31)</f>
        <v>48944</v>
      </c>
      <c r="C223" s="129" t="s">
        <v>178</v>
      </c>
      <c r="D223" s="129">
        <f t="shared" si="3"/>
        <v>1799764127.15888</v>
      </c>
      <c r="E223" s="130">
        <f t="shared" si="4"/>
        <v>827754465.73007298</v>
      </c>
      <c r="F223" s="130">
        <f t="shared" si="5"/>
        <v>323957542.88859838</v>
      </c>
      <c r="G223" s="130">
        <f t="shared" si="6"/>
        <v>503796922.84147459</v>
      </c>
      <c r="H223" s="130">
        <f t="shared" si="7"/>
        <v>1295967204.3174055</v>
      </c>
    </row>
    <row r="224" spans="2:8" ht="18.75" customHeight="1" outlineLevel="2">
      <c r="B224" s="146">
        <f ca="1">DATE($H$2+ROWS($A$2:A10)-1,12,31)</f>
        <v>49309</v>
      </c>
      <c r="C224" s="129" t="s">
        <v>179</v>
      </c>
      <c r="D224" s="129">
        <f t="shared" si="3"/>
        <v>1295967204.3174055</v>
      </c>
      <c r="E224" s="130">
        <f t="shared" si="4"/>
        <v>827754465.73007298</v>
      </c>
      <c r="F224" s="130">
        <f t="shared" si="5"/>
        <v>233274096.77713299</v>
      </c>
      <c r="G224" s="130">
        <f t="shared" si="6"/>
        <v>594480368.95293999</v>
      </c>
      <c r="H224" s="130">
        <f t="shared" si="7"/>
        <v>701486835.36446548</v>
      </c>
    </row>
    <row r="225" spans="1:8" ht="18.75" customHeight="1" outlineLevel="2">
      <c r="B225" s="146">
        <f ca="1">DATE($H$2+ROWS($A$2:A11)-1,12,31)</f>
        <v>49674</v>
      </c>
      <c r="C225" s="129" t="s">
        <v>180</v>
      </c>
      <c r="D225" s="129">
        <f t="shared" si="3"/>
        <v>701486835.36446548</v>
      </c>
      <c r="E225" s="130">
        <f t="shared" si="4"/>
        <v>827754465.73007298</v>
      </c>
      <c r="F225" s="130">
        <f t="shared" si="5"/>
        <v>126267630.36560377</v>
      </c>
      <c r="G225" s="130">
        <f t="shared" si="6"/>
        <v>701486835.36446917</v>
      </c>
      <c r="H225" s="130">
        <f t="shared" si="7"/>
        <v>-3.6954879760742188E-6</v>
      </c>
    </row>
    <row r="226" spans="1:8" s="117" customFormat="1" ht="18.75" customHeight="1" outlineLevel="2">
      <c r="B226" s="119"/>
      <c r="C226" s="119"/>
      <c r="D226" s="119"/>
      <c r="E226" s="119"/>
      <c r="F226" s="119"/>
      <c r="G226" s="119"/>
      <c r="H226" s="119"/>
    </row>
    <row r="228" spans="1:8" s="168" customFormat="1" ht="18.75" customHeight="1" outlineLevel="2">
      <c r="A228" s="210" t="s">
        <v>283</v>
      </c>
      <c r="B228" s="211"/>
      <c r="C228" s="212"/>
      <c r="D228" s="212"/>
      <c r="E228" s="212"/>
      <c r="F228" s="212"/>
      <c r="G228" s="212"/>
      <c r="H228" s="213"/>
    </row>
    <row r="229" spans="1:8" ht="18.75" customHeight="1" outlineLevel="2">
      <c r="B229" s="68" t="s">
        <v>224</v>
      </c>
      <c r="C229" s="69"/>
      <c r="D229" s="69"/>
      <c r="E229" s="69"/>
      <c r="F229" s="70"/>
      <c r="G229" s="69"/>
      <c r="H229" s="71"/>
    </row>
    <row r="230" spans="1:8" ht="18.75" customHeight="1" outlineLevel="2" thickBot="1">
      <c r="B230" s="72"/>
      <c r="C230" s="73"/>
      <c r="D230" s="73"/>
      <c r="E230" s="73"/>
      <c r="F230" s="74"/>
      <c r="G230" s="73"/>
      <c r="H230" s="75"/>
    </row>
    <row r="231" spans="1:8" ht="18.75" customHeight="1" outlineLevel="2">
      <c r="B231" s="208"/>
      <c r="C231" s="208"/>
      <c r="D231" s="208"/>
      <c r="E231" s="208"/>
      <c r="F231" s="208" t="s">
        <v>282</v>
      </c>
      <c r="G231" s="208"/>
      <c r="H231" s="209"/>
    </row>
    <row r="232" spans="1:8" ht="18.75" customHeight="1" outlineLevel="2">
      <c r="A232" s="154"/>
      <c r="B232" s="2" t="s">
        <v>114</v>
      </c>
      <c r="C232" s="2"/>
      <c r="F232" s="206" t="s">
        <v>36</v>
      </c>
      <c r="H232" s="67">
        <f>H10</f>
        <v>1902800880</v>
      </c>
    </row>
    <row r="233" spans="1:8" ht="18.75" customHeight="1" outlineLevel="2">
      <c r="A233" s="154"/>
      <c r="B233" s="2" t="s">
        <v>269</v>
      </c>
      <c r="C233" s="2"/>
      <c r="F233" s="206" t="s">
        <v>36</v>
      </c>
      <c r="H233" s="67">
        <f>H12</f>
        <v>1729600880</v>
      </c>
    </row>
    <row r="234" spans="1:8" ht="18.75" customHeight="1" outlineLevel="2">
      <c r="A234" s="154"/>
      <c r="B234" s="2" t="s">
        <v>117</v>
      </c>
      <c r="C234" s="2"/>
      <c r="F234" s="206" t="s">
        <v>36</v>
      </c>
      <c r="H234" s="67">
        <f>H14</f>
        <v>1710572871.2</v>
      </c>
    </row>
    <row r="235" spans="1:8" ht="18.75" customHeight="1" outlineLevel="2">
      <c r="A235" s="154"/>
      <c r="B235" s="2" t="s">
        <v>107</v>
      </c>
      <c r="C235" s="2"/>
      <c r="F235" s="206" t="s">
        <v>36</v>
      </c>
      <c r="H235" s="67">
        <f>H16</f>
        <v>1183496109.2952383</v>
      </c>
    </row>
    <row r="236" spans="1:8" ht="18.75" customHeight="1" outlineLevel="2">
      <c r="A236" s="154"/>
      <c r="B236" s="2" t="s">
        <v>270</v>
      </c>
      <c r="C236" s="2"/>
      <c r="F236" s="206" t="s">
        <v>36</v>
      </c>
      <c r="H236" s="67">
        <f ca="1">H20</f>
        <v>369668597.67929113</v>
      </c>
    </row>
    <row r="237" spans="1:8" ht="18.75" customHeight="1" outlineLevel="2">
      <c r="A237" s="154"/>
      <c r="B237" s="2" t="s">
        <v>257</v>
      </c>
      <c r="C237" s="2"/>
      <c r="F237" s="206" t="s">
        <v>36</v>
      </c>
      <c r="H237" s="67">
        <f>H192</f>
        <v>3561845534.2699265</v>
      </c>
    </row>
    <row r="238" spans="1:8" ht="18.75" customHeight="1" outlineLevel="2">
      <c r="A238" s="154"/>
      <c r="B238" s="2" t="s">
        <v>259</v>
      </c>
      <c r="C238" s="2"/>
      <c r="F238" s="206" t="s">
        <v>36</v>
      </c>
      <c r="H238" s="67">
        <f ca="1">H50</f>
        <v>2849668597.6792912</v>
      </c>
    </row>
    <row r="239" spans="1:8" ht="18.75" customHeight="1" outlineLevel="2">
      <c r="A239" s="154"/>
      <c r="B239" s="2" t="s">
        <v>185</v>
      </c>
      <c r="C239" s="2"/>
      <c r="F239" s="206" t="s">
        <v>36</v>
      </c>
      <c r="H239" s="67">
        <f>F216</f>
        <v>669599999.99999988</v>
      </c>
    </row>
    <row r="240" spans="1:8" ht="18.75" customHeight="1" outlineLevel="2">
      <c r="A240" s="154"/>
      <c r="B240" s="2" t="s">
        <v>271</v>
      </c>
      <c r="C240" s="2"/>
      <c r="F240" s="206" t="s">
        <v>36</v>
      </c>
      <c r="H240" s="67">
        <f>E212</f>
        <v>827754465.73007298</v>
      </c>
    </row>
    <row r="241" spans="1:8" ht="18.75" customHeight="1" outlineLevel="2">
      <c r="A241" s="154"/>
      <c r="B241" s="2" t="s">
        <v>272</v>
      </c>
      <c r="C241" s="2"/>
      <c r="F241" s="206" t="s">
        <v>36</v>
      </c>
      <c r="H241" s="67">
        <f ca="1">H35</f>
        <v>6434453224.0067511</v>
      </c>
    </row>
    <row r="242" spans="1:8" ht="18.75" customHeight="1" outlineLevel="2">
      <c r="A242" s="154"/>
      <c r="B242" s="2" t="s">
        <v>273</v>
      </c>
      <c r="C242" s="2"/>
      <c r="F242" s="206" t="s">
        <v>36</v>
      </c>
      <c r="H242" s="67">
        <f ca="1">H29</f>
        <v>761529985.91151309</v>
      </c>
    </row>
    <row r="243" spans="1:8" ht="18.75" customHeight="1" outlineLevel="2">
      <c r="A243" s="154"/>
      <c r="B243" s="2" t="s">
        <v>274</v>
      </c>
      <c r="C243" s="2"/>
      <c r="F243" s="206" t="s">
        <v>36</v>
      </c>
      <c r="H243" s="67">
        <f>H41</f>
        <v>209561361.61902049</v>
      </c>
    </row>
    <row r="244" spans="1:8" ht="18.75" customHeight="1" outlineLevel="2">
      <c r="A244" s="154"/>
      <c r="B244" s="2" t="s">
        <v>279</v>
      </c>
      <c r="C244" s="2"/>
      <c r="F244" s="206" t="s">
        <v>36</v>
      </c>
      <c r="H244" s="67">
        <f ca="1">H62</f>
        <v>868248835.2032311</v>
      </c>
    </row>
    <row r="245" spans="1:8" ht="18.75" customHeight="1" outlineLevel="2">
      <c r="A245" s="154"/>
      <c r="B245" s="2" t="s">
        <v>140</v>
      </c>
      <c r="C245" s="2"/>
      <c r="F245" s="206" t="s">
        <v>36</v>
      </c>
      <c r="H245" s="67">
        <f>L168</f>
        <v>6200000000</v>
      </c>
    </row>
    <row r="246" spans="1:8" ht="18.75" customHeight="1" outlineLevel="2">
      <c r="A246" s="154"/>
      <c r="B246" s="2" t="s">
        <v>275</v>
      </c>
      <c r="C246" s="2"/>
      <c r="F246" s="206" t="s">
        <v>36</v>
      </c>
      <c r="H246" s="67">
        <f ca="1">H78</f>
        <v>710094369.47315693</v>
      </c>
    </row>
    <row r="247" spans="1:8" ht="18.75" customHeight="1" outlineLevel="2">
      <c r="A247" s="154"/>
      <c r="B247" s="2" t="s">
        <v>280</v>
      </c>
      <c r="C247" s="2"/>
      <c r="F247" s="206" t="s">
        <v>36</v>
      </c>
      <c r="H247" s="67">
        <f>H123</f>
        <v>173200000</v>
      </c>
    </row>
    <row r="248" spans="1:8" ht="18.75" customHeight="1" outlineLevel="2">
      <c r="A248" s="154"/>
      <c r="B248" s="2" t="s">
        <v>281</v>
      </c>
      <c r="C248" s="2"/>
      <c r="F248" s="207" t="s">
        <v>16</v>
      </c>
      <c r="H248" s="67">
        <f>H88</f>
        <v>9154200</v>
      </c>
    </row>
    <row r="249" spans="1:8" ht="18.75" customHeight="1" outlineLevel="2">
      <c r="B249" s="2"/>
      <c r="C249" s="2"/>
    </row>
    <row r="250" spans="1:8" ht="18.75" customHeight="1" outlineLevel="2">
      <c r="B250" s="2" t="s">
        <v>228</v>
      </c>
      <c r="C250" s="2" t="s">
        <v>229</v>
      </c>
      <c r="H250" s="67">
        <f>H233/H232</f>
        <v>0.90897628762921323</v>
      </c>
    </row>
    <row r="251" spans="1:8" ht="18.75" customHeight="1" outlineLevel="2">
      <c r="B251" s="2"/>
      <c r="C251" s="2" t="s">
        <v>231</v>
      </c>
      <c r="H251" s="67">
        <f>H234/H232</f>
        <v>0.89897628762921322</v>
      </c>
    </row>
    <row r="252" spans="1:8" ht="18.75" customHeight="1" outlineLevel="2">
      <c r="B252" s="2"/>
      <c r="C252" s="2" t="s">
        <v>230</v>
      </c>
      <c r="H252" s="67">
        <f ca="1">H236/H232</f>
        <v>0.19427602833528809</v>
      </c>
    </row>
    <row r="253" spans="1:8" ht="18.75" customHeight="1" outlineLevel="2">
      <c r="B253" s="2"/>
      <c r="C253" s="2" t="s">
        <v>232</v>
      </c>
      <c r="H253" s="67">
        <f ca="1">H236/H241</f>
        <v>5.7451439121519871E-2</v>
      </c>
    </row>
    <row r="254" spans="1:8" ht="18.75" customHeight="1" outlineLevel="2">
      <c r="B254" s="2"/>
      <c r="C254" s="2" t="s">
        <v>233</v>
      </c>
      <c r="H254" s="67">
        <f ca="1">H236/H238</f>
        <v>0.12972336431693893</v>
      </c>
    </row>
    <row r="255" spans="1:8" ht="18.75" customHeight="1" outlineLevel="2">
      <c r="B255" s="2"/>
      <c r="C255" s="2"/>
    </row>
    <row r="256" spans="1:8" ht="18.75" customHeight="1" outlineLevel="2">
      <c r="B256" s="2" t="s">
        <v>234</v>
      </c>
      <c r="C256" s="2" t="s">
        <v>235</v>
      </c>
      <c r="H256" s="67">
        <f ca="1">H242/H243</f>
        <v>3.6339236394921097</v>
      </c>
    </row>
    <row r="257" spans="2:9" ht="18.75" customHeight="1" outlineLevel="2">
      <c r="B257" s="2"/>
      <c r="C257" s="2" t="s">
        <v>236</v>
      </c>
      <c r="H257" s="67">
        <f ca="1">H246/H243</f>
        <v>3.3884794600833819</v>
      </c>
    </row>
    <row r="258" spans="2:9" ht="18.75" customHeight="1" outlineLevel="2">
      <c r="B258" s="2"/>
      <c r="H258" s="61"/>
    </row>
    <row r="259" spans="2:9" ht="18.75" customHeight="1" outlineLevel="2">
      <c r="B259" s="2" t="s">
        <v>237</v>
      </c>
      <c r="C259" s="2" t="s">
        <v>238</v>
      </c>
      <c r="H259" s="67">
        <f ca="1">H237/H238</f>
        <v>1.2499157049948253</v>
      </c>
    </row>
    <row r="260" spans="2:9" ht="18.75" customHeight="1" outlineLevel="2">
      <c r="B260" s="2"/>
      <c r="C260" s="2" t="s">
        <v>239</v>
      </c>
      <c r="H260" s="67">
        <f>H237/H234</f>
        <v>2.0822530242580211</v>
      </c>
    </row>
    <row r="261" spans="2:9" ht="18.75" customHeight="1" outlineLevel="2">
      <c r="B261" s="2"/>
      <c r="C261" s="2" t="s">
        <v>268</v>
      </c>
      <c r="H261" s="67">
        <f ca="1">H237/H241</f>
        <v>0.55355838488044151</v>
      </c>
    </row>
    <row r="262" spans="2:9" ht="18.75" customHeight="1" outlineLevel="2">
      <c r="B262" s="2"/>
      <c r="H262" s="61"/>
    </row>
    <row r="263" spans="2:9" ht="18.75" customHeight="1" outlineLevel="2">
      <c r="B263" s="2" t="s">
        <v>240</v>
      </c>
      <c r="C263" s="2" t="s">
        <v>226</v>
      </c>
      <c r="H263" s="190">
        <f ca="1">(H14+H19+H61)/E212</f>
        <v>1.8406991576541034</v>
      </c>
    </row>
    <row r="264" spans="2:9" ht="18.75" customHeight="1" outlineLevel="2">
      <c r="B264" s="2"/>
      <c r="C264" s="2" t="s">
        <v>225</v>
      </c>
      <c r="H264" s="190">
        <f>H14/E212</f>
        <v>2.0665220690670489</v>
      </c>
      <c r="I264" s="193"/>
    </row>
    <row r="265" spans="2:9" ht="18.75" customHeight="1" outlineLevel="2">
      <c r="B265" s="2"/>
      <c r="C265" s="2" t="s">
        <v>241</v>
      </c>
      <c r="H265" s="67">
        <f>H235/H239</f>
        <v>1.7674673077885878</v>
      </c>
    </row>
    <row r="266" spans="2:9" ht="18.75" customHeight="1" outlineLevel="2">
      <c r="B266" s="2"/>
      <c r="H266" s="61"/>
    </row>
    <row r="267" spans="2:9" ht="18.75" customHeight="1" outlineLevel="2">
      <c r="B267" s="2" t="s">
        <v>242</v>
      </c>
      <c r="C267" s="2" t="s">
        <v>243</v>
      </c>
      <c r="H267" s="67">
        <f ca="1">H244/H232</f>
        <v>0.45630041710051716</v>
      </c>
    </row>
    <row r="268" spans="2:9" ht="18.75" customHeight="1" outlineLevel="2">
      <c r="B268" s="2"/>
      <c r="C268" s="2" t="s">
        <v>244</v>
      </c>
      <c r="H268" s="67">
        <f ca="1">H244-H245</f>
        <v>-5331751164.7967691</v>
      </c>
    </row>
    <row r="269" spans="2:9" ht="18.75" customHeight="1" outlineLevel="2">
      <c r="B269" s="2"/>
      <c r="C269" s="2" t="s">
        <v>245</v>
      </c>
      <c r="H269" s="67">
        <f ca="1">H244/H246</f>
        <v>1.2227231654398476</v>
      </c>
    </row>
    <row r="270" spans="2:9" ht="18.75" customHeight="1" outlineLevel="2">
      <c r="B270" s="2"/>
      <c r="C270" s="2"/>
    </row>
    <row r="271" spans="2:9" ht="18.75" customHeight="1" outlineLevel="2">
      <c r="B271" s="2" t="s">
        <v>246</v>
      </c>
      <c r="C271" s="2" t="s">
        <v>247</v>
      </c>
      <c r="H271" s="67">
        <f>H247/H248</f>
        <v>18.920277031308032</v>
      </c>
    </row>
    <row r="272" spans="2:9" ht="18.75" customHeight="1" outlineLevel="2">
      <c r="B272" s="2"/>
      <c r="C272" s="2" t="s">
        <v>248</v>
      </c>
      <c r="H272" s="67">
        <f>H234/H248</f>
        <v>186.86208201699768</v>
      </c>
    </row>
    <row r="273" spans="1:8" ht="18.75" customHeight="1" outlineLevel="2">
      <c r="B273" s="2"/>
      <c r="C273" s="2" t="s">
        <v>249</v>
      </c>
      <c r="H273" s="67">
        <f ca="1">H236/H248</f>
        <v>40.382403451889964</v>
      </c>
    </row>
    <row r="274" spans="1:8" ht="18.75" customHeight="1" outlineLevel="2">
      <c r="B274" s="2"/>
      <c r="H274" s="61"/>
    </row>
    <row r="275" spans="1:8" ht="18.75" customHeight="1">
      <c r="B275" s="2"/>
      <c r="C275" s="2"/>
    </row>
    <row r="276" spans="1:8" s="210" customFormat="1" ht="18.75" customHeight="1">
      <c r="A276" s="210" t="s">
        <v>278</v>
      </c>
      <c r="B276" s="223"/>
      <c r="C276" s="223"/>
      <c r="D276" s="223"/>
      <c r="E276" s="223"/>
      <c r="F276" s="223"/>
      <c r="H276" s="214"/>
    </row>
    <row r="277" spans="1:8" ht="18.75" customHeight="1" outlineLevel="1">
      <c r="B277" s="237"/>
      <c r="C277" s="237"/>
      <c r="D277" s="237"/>
      <c r="E277" s="237"/>
    </row>
    <row r="278" spans="1:8" ht="18.75" customHeight="1" outlineLevel="1">
      <c r="B278" s="239" t="s">
        <v>276</v>
      </c>
      <c r="C278" s="239" t="s">
        <v>284</v>
      </c>
      <c r="D278" s="239" t="s">
        <v>114</v>
      </c>
      <c r="E278" s="239" t="s">
        <v>117</v>
      </c>
      <c r="F278" s="240" t="s">
        <v>277</v>
      </c>
      <c r="G278" s="240" t="s">
        <v>289</v>
      </c>
      <c r="H278" s="241" t="s">
        <v>285</v>
      </c>
    </row>
    <row r="279" spans="1:8" ht="18.75" customHeight="1" outlineLevel="1">
      <c r="B279" s="225">
        <v>-0.1</v>
      </c>
      <c r="C279" s="226">
        <f>$H$90*(1+B279)</f>
        <v>162</v>
      </c>
      <c r="D279" s="227">
        <f>($H$88*C279*$H$91)+$H$98+$H$105</f>
        <v>1741320792</v>
      </c>
      <c r="E279" s="227">
        <f>D279+$H$11-(D279*$H$126)</f>
        <v>1550707584.0799999</v>
      </c>
      <c r="F279" s="228">
        <f ca="1">(E279+$H$15+$H$17)*(1-Assumptions!$E$38)</f>
        <v>257762896.69529098</v>
      </c>
      <c r="G279" s="228">
        <f ca="1">F279-$F$281</f>
        <v>-111905700.98400009</v>
      </c>
      <c r="H279" s="233">
        <f ca="1">IF($F$281=0,0,(F279-$F$281)/$F$281)</f>
        <v>-0.30271898042333789</v>
      </c>
    </row>
    <row r="280" spans="1:8" ht="18.75" customHeight="1" outlineLevel="1">
      <c r="B280" s="225">
        <v>-0.05</v>
      </c>
      <c r="C280" s="226">
        <f>$H$90*(1+B280)</f>
        <v>171</v>
      </c>
      <c r="D280" s="227">
        <f>($H$88*C280*$H$91)+$H$98+$H$105</f>
        <v>1822060836</v>
      </c>
      <c r="E280" s="227">
        <f>D280+$H$11-(D280*$H$126)</f>
        <v>1630640227.6400001</v>
      </c>
      <c r="F280" s="228">
        <f ca="1">(E280+$H$15+$H$17)*(1-Assumptions!$E$38)</f>
        <v>313715747.18729109</v>
      </c>
      <c r="G280" s="228">
        <f ca="1">F280-$F$281</f>
        <v>-55952850.491999984</v>
      </c>
      <c r="H280" s="233">
        <f ca="1">IF($F$281=0,0,(F280-$F$281)/$F$281)</f>
        <v>-0.15135949021166878</v>
      </c>
    </row>
    <row r="281" spans="1:8" s="242" customFormat="1" ht="18.75" customHeight="1" outlineLevel="1">
      <c r="B281" s="243">
        <v>0</v>
      </c>
      <c r="C281" s="244">
        <f>$H$90*(1+B281)</f>
        <v>180</v>
      </c>
      <c r="D281" s="245">
        <f>($H$88*C281*$H$91)+$H$98+$H$105</f>
        <v>1902800880</v>
      </c>
      <c r="E281" s="245">
        <f>D281+$H$11-(D281*$H$126)</f>
        <v>1710572871.2</v>
      </c>
      <c r="F281" s="246">
        <f ca="1">(E281+$H$15+$H$17)*(1-Assumptions!$E$38)</f>
        <v>369668597.67929107</v>
      </c>
      <c r="G281" s="246">
        <f ca="1">F281-$F$281</f>
        <v>0</v>
      </c>
      <c r="H281" s="247">
        <f ca="1">IF($F$281=0,0,(F281-$F$281)/$F$281)</f>
        <v>0</v>
      </c>
    </row>
    <row r="282" spans="1:8" ht="18.75" customHeight="1" outlineLevel="1">
      <c r="B282" s="225">
        <v>0.05</v>
      </c>
      <c r="C282" s="226">
        <f>$H$90*(1+B282)</f>
        <v>189</v>
      </c>
      <c r="D282" s="227">
        <f>($H$88*C282*$H$91)+$H$98+$H$105</f>
        <v>1983540924</v>
      </c>
      <c r="E282" s="227">
        <f>D282+$H$11-(D282*$H$126)</f>
        <v>1790505514.76</v>
      </c>
      <c r="F282" s="228">
        <f ca="1">(E282+$H$15+$H$17)*(1-Assumptions!$E$38)</f>
        <v>425621448.17129105</v>
      </c>
      <c r="G282" s="228">
        <f ca="1">F282-$F$281</f>
        <v>55952850.491999984</v>
      </c>
      <c r="H282" s="233">
        <f ca="1">IF($F$281=0,0,(F282-$F$281)/$F$281)</f>
        <v>0.15135949021166878</v>
      </c>
    </row>
    <row r="283" spans="1:8" ht="18.75" customHeight="1" outlineLevel="1">
      <c r="B283" s="225">
        <v>0.1</v>
      </c>
      <c r="C283" s="226">
        <f>$H$90*(1+B283)</f>
        <v>198.00000000000003</v>
      </c>
      <c r="D283" s="227">
        <f>($H$88*C283*$H$91)+$H$98+$H$105</f>
        <v>2064280968.0000002</v>
      </c>
      <c r="E283" s="227">
        <f>D283+$H$11-(D283*$H$126)</f>
        <v>1870438158.3200002</v>
      </c>
      <c r="F283" s="228">
        <f ca="1">(E283+$H$15+$H$17)*(1-Assumptions!$E$38)</f>
        <v>481574298.66329116</v>
      </c>
      <c r="G283" s="228">
        <f ca="1">F283-$F$281</f>
        <v>111905700.98400009</v>
      </c>
      <c r="H283" s="233">
        <f ca="1">IF($F$281=0,0,(F283-$F$281)/$F$281)</f>
        <v>0.30271898042333789</v>
      </c>
    </row>
    <row r="284" spans="1:8" ht="18.75" customHeight="1" outlineLevel="1"/>
    <row r="285" spans="1:8" ht="18.75" customHeight="1" outlineLevel="1"/>
    <row r="286" spans="1:8" ht="18.75" customHeight="1" outlineLevel="1">
      <c r="B286" s="224" t="s">
        <v>291</v>
      </c>
      <c r="C286" s="224"/>
      <c r="D286" s="224"/>
      <c r="E286" s="224"/>
      <c r="F286" s="224"/>
    </row>
    <row r="287" spans="1:8" ht="18.75" customHeight="1" outlineLevel="1">
      <c r="B287" s="94" t="s">
        <v>286</v>
      </c>
      <c r="C287" s="238">
        <v>195</v>
      </c>
    </row>
    <row r="288" spans="1:8" ht="18.75" customHeight="1" outlineLevel="1">
      <c r="B288" s="229"/>
      <c r="C288" s="229" t="s">
        <v>287</v>
      </c>
      <c r="D288" s="229" t="s">
        <v>114</v>
      </c>
      <c r="E288" s="229" t="s">
        <v>117</v>
      </c>
      <c r="F288" s="229" t="s">
        <v>277</v>
      </c>
      <c r="G288" s="229" t="s">
        <v>290</v>
      </c>
      <c r="H288" s="235" t="s">
        <v>285</v>
      </c>
    </row>
    <row r="289" spans="2:8" ht="18.75" customHeight="1" outlineLevel="1">
      <c r="B289" s="230" t="s">
        <v>288</v>
      </c>
      <c r="C289" s="231">
        <f>(C287-$H$90)/$H$90</f>
        <v>8.3333333333333329E-2</v>
      </c>
      <c r="D289" s="232">
        <f>($H$88*C287*$H$91)+$H$98+$H$105</f>
        <v>2037367620</v>
      </c>
      <c r="E289" s="232">
        <f>D289+$H$11-(D289*$H$126)</f>
        <v>1843793943.8</v>
      </c>
      <c r="F289" s="234">
        <f ca="1">(E289+$H$15+$H$17)*(1-Assumptions!$E$38)</f>
        <v>462923348.499291</v>
      </c>
      <c r="G289" s="234">
        <f ca="1">F289-$H$20</f>
        <v>93254750.819999874</v>
      </c>
      <c r="H289" s="236">
        <f ca="1">IF($H$20=0,0,(F289-$H$20)/$H$20)</f>
        <v>0.25226581701944767</v>
      </c>
    </row>
  </sheetData>
  <mergeCells count="1">
    <mergeCell ref="B286:F286"/>
  </mergeCells>
  <pageMargins left="0.25" right="0.25" top="0.75" bottom="0.75" header="0.3" footer="0.3"/>
  <pageSetup scale="75" orientation="landscape" r:id="rId1"/>
  <headerFooter>
    <oddHeader>&amp;L&amp;D&amp;T&amp;R&amp;G</oddHeader>
    <oddFooter>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Cover</vt:lpstr>
      <vt:lpstr>Dashboard</vt:lpstr>
      <vt:lpstr>Assumptions</vt:lpstr>
      <vt:lpstr>Model</vt:lpstr>
      <vt:lpstr>Assumptions!Print_Area</vt:lpstr>
      <vt:lpstr>Dashboard!Print_Area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Ebere Ike</dc:creator>
  <cp:lastModifiedBy>Ebere Ike</cp:lastModifiedBy>
  <cp:lastPrinted>2026-07-11T12:23:29Z</cp:lastPrinted>
  <dcterms:created xsi:type="dcterms:W3CDTF">2026-07-03T11:18:48Z</dcterms:created>
  <dcterms:modified xsi:type="dcterms:W3CDTF">2026-07-13T13:34:07Z</dcterms:modified>
</cp:coreProperties>
</file>